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3DAE61EC-1696-4D59-924D-8190BE25BA06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25" i="1"/>
  <c r="H24" i="1"/>
  <c r="H19" i="1"/>
  <c r="H22" i="1"/>
  <c r="H23" i="1"/>
  <c r="H20" i="1"/>
  <c r="H21" i="1"/>
  <c r="H26" i="1" l="1"/>
  <c r="H27" i="1" s="1"/>
  <c r="H28" i="1" l="1"/>
</calcChain>
</file>

<file path=xl/sharedStrings.xml><?xml version="1.0" encoding="utf-8"?>
<sst xmlns="http://schemas.openxmlformats.org/spreadsheetml/2006/main" count="25" uniqueCount="25">
  <si>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</si>
  <si>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</si>
  <si>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</si>
  <si>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</si>
  <si>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</si>
  <si>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</si>
  <si>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</si>
  <si>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</si>
  <si>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</si>
  <si>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</si>
  <si>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</si>
  <si>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</si>
  <si>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</si>
  <si>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</si>
  <si>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</si>
  <si>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 xml:space="preserve">Total </t>
  </si>
  <si>
    <t>ISV 15%</t>
  </si>
  <si>
    <t xml:space="preserve">Lic. Tania Ulloa </t>
  </si>
  <si>
    <t>2025-064</t>
  </si>
  <si>
    <t xml:space="preserve">Estudiantes </t>
  </si>
  <si>
    <t xml:space="preserve">Congreso de estudiantes </t>
  </si>
  <si>
    <t xml:space="preserve">29,30 y 31 de Marzo  </t>
  </si>
  <si>
    <t xml:space="preserve">Audio Profesinal para 300 personas mic y consola </t>
  </si>
  <si>
    <t xml:space="preserve">Equipo para transmision en vivo </t>
  </si>
  <si>
    <t xml:space="preserve">Tegucigalpa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</si>
</sst>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6" fillId="3" borderId="3" xfId="3" applyFill="1" applyBorder="1" applyAlignment="1"/>
    <xf numFmtId="44" fontId="6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0" xfId="0" applyAlignment="1">
      <alignment horizontal="left" vertical="center"/>
    </xf>
    <xf numFmtId="0" fontId="10" fillId="2" borderId="0" xfId="0" applyFont="1" applyFill="1"/>
    <xf numFmtId="0" fontId="0" fillId="5" borderId="0" xfId="0" applyFill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3" borderId="3" xfId="2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922" y="5847563"/>
          <a:ext cx="50716" cy="33877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821"/>
          <a:ext cx="6641622" cy="1343898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30371</xdr:colOff>
      <xdr:row>9</xdr:row>
      <xdr:rowOff>0</xdr:rowOff>
    </xdr:from>
    <xdr:to>
      <xdr:col>7</xdr:col>
      <xdr:colOff>940341</xdr:colOff>
      <xdr:row>11</xdr:row>
      <xdr:rowOff>89170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4392" y="1678021"/>
          <a:ext cx="6430417" cy="462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113862</xdr:colOff>
      <xdr:row>25</xdr:row>
      <xdr:rowOff>24385</xdr:rowOff>
    </xdr:from>
    <xdr:to>
      <xdr:col>7</xdr:col>
      <xdr:colOff>1142999</xdr:colOff>
      <xdr:row>35</xdr:row>
      <xdr:rowOff>142799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13862" y="4855789"/>
          <a:ext cx="6703605" cy="2145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43806</xdr:colOff>
      <xdr:row>39</xdr:row>
      <xdr:rowOff>292945</xdr:rowOff>
    </xdr:from>
    <xdr:to>
      <xdr:col>4</xdr:col>
      <xdr:colOff>91431</xdr:colOff>
      <xdr:row>42</xdr:row>
      <xdr:rowOff>108266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98135" y="7285983"/>
          <a:ext cx="2410790" cy="500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1108877</xdr:colOff>
      <xdr:row>39</xdr:row>
      <xdr:rowOff>219317</xdr:rowOff>
    </xdr:from>
    <xdr:to>
      <xdr:col>7</xdr:col>
      <xdr:colOff>742709</xdr:colOff>
      <xdr:row>43</xdr:row>
      <xdr:rowOff>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626371" y="7212355"/>
          <a:ext cx="2797579" cy="7388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135037</xdr:colOff>
      <xdr:row>35</xdr:row>
      <xdr:rowOff>94537</xdr:rowOff>
    </xdr:from>
    <xdr:to>
      <xdr:col>4</xdr:col>
      <xdr:colOff>250782</xdr:colOff>
      <xdr:row>43</xdr:row>
      <xdr:rowOff>9645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037" y="6306284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topLeftCell="A10" zoomScale="94" zoomScaleNormal="100" zoomScaleSheetLayoutView="112" zoomScalePageLayoutView="94" workbookViewId="0">
      <selection activeCell="A18" sqref="A18:XFD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4" t="s">
        <v>12</v>
      </c>
      <c r="I6" s="1"/>
    </row>
    <row r="7" spans="2:9">
      <c r="H7" s="34" t="s">
        <v>18</v>
      </c>
    </row>
    <row r="12" spans="2:9" ht="12.6" customHeight="1">
      <c r="B12" s="14" t="s">
        <v>13</v>
      </c>
      <c r="C12" s="35" t="s">
        <v>19</v>
      </c>
      <c r="D12" s="31"/>
      <c r="E12" s="31"/>
      <c r="F12" t="s">
        <v>11</v>
      </c>
      <c r="G12" s="30" t="s">
        <v>17</v>
      </c>
      <c r="H12" s="30"/>
    </row>
    <row r="13" spans="2:9" ht="14.4" customHeight="1">
      <c r="B13" s="27" t="s">
        <v>0</v>
      </c>
      <c r="C13" s="27"/>
      <c r="D13" s="35" t="s">
        <v>24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14</v>
      </c>
    </row>
    <row r="15" spans="2:9">
      <c r="B15" s="2">
        <v>45698</v>
      </c>
      <c r="C15" s="1"/>
      <c r="D15" s="38" t="s">
        <v>21</v>
      </c>
      <c r="E15" s="32"/>
      <c r="F15" s="37" t="s">
        <v>20</v>
      </c>
      <c r="G15" s="30"/>
      <c r="H15" s="10"/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3" t="s">
        <v>7</v>
      </c>
    </row>
    <row r="17" spans="2:8">
      <c r="B17" s="36">
        <v>1</v>
      </c>
      <c r="C17" s="8">
        <v>3</v>
      </c>
      <c r="D17" s="20" t="s">
        <v>22</v>
      </c>
      <c r="E17" s="24"/>
      <c r="F17" s="25"/>
      <c r="G17" s="11">
        <v>7500</v>
      </c>
      <c r="H17" s="12">
        <f>G17*B17*C17</f>
        <v>22500</v>
      </c>
    </row>
    <row r="18" spans="2:8">
      <c r="B18" s="36">
        <v>1</v>
      </c>
      <c r="C18" s="8">
        <v>3</v>
      </c>
      <c r="D18" s="20" t="s">
        <v>23</v>
      </c>
      <c r="E18" s="21"/>
      <c r="F18" s="22"/>
      <c r="G18" s="11">
        <v>4500</v>
      </c>
      <c r="H18" s="12">
        <f>G18*B18*C18</f>
        <v>13500</v>
      </c>
    </row>
    <row r="19" spans="2:8">
      <c r="B19" s="8"/>
      <c r="C19" s="8"/>
      <c r="D19" s="20"/>
      <c r="E19" s="24"/>
      <c r="F19" s="25"/>
      <c r="G19" s="11"/>
      <c r="H19" s="12">
        <f>G19*B19*C19</f>
        <v>0</v>
      </c>
    </row>
    <row r="20" spans="2:8">
      <c r="B20" s="9"/>
      <c r="C20" s="9"/>
      <c r="D20" s="20"/>
      <c r="E20" s="24"/>
      <c r="F20" s="25"/>
      <c r="G20" s="13"/>
      <c r="H20" s="12">
        <f t="shared" ref="H20:H25" si="0">G20*B20</f>
        <v>0</v>
      </c>
    </row>
    <row r="21" spans="2:8">
      <c r="B21" s="9"/>
      <c r="C21" s="9"/>
      <c r="D21" s="20"/>
      <c r="E21" s="24"/>
      <c r="F21" s="25"/>
      <c r="G21" s="11"/>
      <c r="H21" s="12">
        <f t="shared" si="0"/>
        <v>0</v>
      </c>
    </row>
    <row r="22" spans="2:8">
      <c r="B22" s="9"/>
      <c r="C22" s="9"/>
      <c r="D22" s="20"/>
      <c r="E22" s="21"/>
      <c r="F22" s="22"/>
      <c r="G22" s="11"/>
      <c r="H22" s="12">
        <f t="shared" si="0"/>
        <v>0</v>
      </c>
    </row>
    <row r="23" spans="2:8">
      <c r="B23" s="9"/>
      <c r="C23" s="9"/>
      <c r="D23" s="20"/>
      <c r="E23" s="21"/>
      <c r="F23" s="22"/>
      <c r="G23" s="11"/>
      <c r="H23" s="12">
        <f t="shared" si="0"/>
        <v>0</v>
      </c>
    </row>
    <row r="24" spans="2:8">
      <c r="B24" s="9"/>
      <c r="C24" s="9"/>
      <c r="D24" s="17"/>
      <c r="E24" s="18"/>
      <c r="F24" s="19"/>
      <c r="G24" s="11"/>
      <c r="H24" s="12">
        <f t="shared" si="0"/>
        <v>0</v>
      </c>
    </row>
    <row r="25" spans="2:8">
      <c r="B25" s="9"/>
      <c r="C25" s="9"/>
      <c r="D25" s="17"/>
      <c r="E25" s="18"/>
      <c r="F25" s="19"/>
      <c r="G25" s="11"/>
      <c r="H25" s="12">
        <f t="shared" si="0"/>
        <v>0</v>
      </c>
    </row>
    <row r="26" spans="2:8">
      <c r="D26" s="23"/>
      <c r="E26" s="23"/>
      <c r="F26" s="23"/>
      <c r="G26" s="5" t="s">
        <v>9</v>
      </c>
      <c r="H26" s="6">
        <f>SUM(H17:H25)</f>
        <v>36000</v>
      </c>
    </row>
    <row r="27" spans="2:8">
      <c r="G27" s="5" t="s">
        <v>16</v>
      </c>
      <c r="H27" s="7">
        <f>H26*0.15</f>
        <v>5400</v>
      </c>
    </row>
    <row r="28" spans="2:8">
      <c r="G28" s="5" t="s">
        <v>15</v>
      </c>
      <c r="H28" s="7">
        <f>H27+H26</f>
        <v>41400</v>
      </c>
    </row>
    <row r="34" spans="2:8" ht="31.8" customHeight="1"/>
    <row r="35" spans="2:8" ht="10.199999999999999" customHeight="1"/>
    <row r="37" spans="2:8" ht="27.6" customHeight="1"/>
    <row r="38" spans="2:8" ht="5.4" customHeight="1">
      <c r="D38" s="16"/>
      <c r="E38" s="16"/>
      <c r="F38" s="16"/>
      <c r="G38" s="16"/>
      <c r="H38" s="16"/>
    </row>
    <row r="40" spans="2:8" ht="25.2" customHeight="1"/>
    <row r="45" spans="2:8" ht="29.4" customHeight="1"/>
    <row r="46" spans="2:8" ht="6" customHeight="1">
      <c r="B46" s="15"/>
      <c r="C46" s="15"/>
      <c r="D46" s="15"/>
      <c r="E46" s="15"/>
      <c r="F46" s="15"/>
      <c r="G46" s="15"/>
      <c r="H46" s="15"/>
    </row>
    <row r="47" spans="2:8" ht="1.95" customHeight="1"/>
    <row r="48" spans="2:8" ht="7.95" customHeight="1"/>
    <row r="49" ht="16.05" customHeight="1"/>
    <row r="51" ht="6" customHeight="1"/>
    <row r="52" ht="9.75" customHeight="1"/>
  </sheetData>
  <mergeCells count="18">
    <mergeCell ref="D15:E15"/>
    <mergeCell ref="D16:F16"/>
    <mergeCell ref="D17:F17"/>
    <mergeCell ref="F15:G15"/>
    <mergeCell ref="D20:F20"/>
    <mergeCell ref="D19:F19"/>
    <mergeCell ref="D18:F18"/>
    <mergeCell ref="B1:H1"/>
    <mergeCell ref="B13:C13"/>
    <mergeCell ref="D13:G13"/>
    <mergeCell ref="D14:E14"/>
    <mergeCell ref="G12:H12"/>
    <mergeCell ref="F14:G14"/>
    <mergeCell ref="C12:E12"/>
    <mergeCell ref="D22:F22"/>
    <mergeCell ref="D23:F23"/>
    <mergeCell ref="D26:F26"/>
    <mergeCell ref="D21:F21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2025-02-11T01:55:47Z</cp:lastPrinted>
  <dcterms:created xsi:type="dcterms:W3CDTF">2022-10-19T19:05:00Z</dcterms:created>
  <dcterms:modified xsi:type="dcterms:W3CDTF">2025-02-11T01:58:27Z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