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C83A558-CEB6-443F-B95B-33E69C43BA4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4" i="1"/>
  <c r="H23" i="1"/>
  <c r="H21" i="1"/>
  <c r="H22" i="1"/>
  <c r="H20" i="1"/>
  <c r="H18" i="1"/>
  <c r="H32" i="1"/>
  <c r="H33" i="1"/>
  <c r="H34" i="1"/>
  <c r="H17" i="1"/>
  <c r="H19" i="1"/>
  <c r="H25" i="1"/>
  <c r="H35" i="1" l="1"/>
  <c r="H36" i="1" s="1"/>
  <c r="H37" i="1" l="1"/>
</calcChain>
</file>

<file path=xl/sharedStrings.xml><?xml version="1.0" encoding="utf-8"?>
<sst xmlns="http://schemas.openxmlformats.org/spreadsheetml/2006/main" count="42" uniqueCount="42">
  <si>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</si>
  <si>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</si>
  <si>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</si>
  <si>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</si>
  <si>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</si>
  <si>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</si>
  <si>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</si>
  <si>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</si>
  <si>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</si>
  <si>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</si>
  <si>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</si>
  <si>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</si>
  <si>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</si>
  <si>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</si>
  <si>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</si>
  <si>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</si>
  <si>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</si>
  <si>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</si>
  <si>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>2 horas</t>
  </si>
  <si>
    <t xml:space="preserve">Tarima 5 x 3.75 </t>
  </si>
  <si>
    <t>Sistema de audio corporativo tipo barra con mic</t>
  </si>
  <si>
    <t xml:space="preserve">Sillones Longe </t>
  </si>
  <si>
    <t xml:space="preserve">Luces led </t>
  </si>
  <si>
    <t xml:space="preserve">maquinas de humo </t>
  </si>
  <si>
    <t xml:space="preserve">Luces roboticas </t>
  </si>
  <si>
    <t xml:space="preserve">Pantalla led 3 x 2 m con procesador </t>
  </si>
  <si>
    <t>2025-049</t>
  </si>
  <si>
    <t xml:space="preserve">Grupo Aliadas </t>
  </si>
  <si>
    <t xml:space="preserve">San Pedro Sula </t>
  </si>
  <si>
    <t xml:space="preserve">12 de Febrero </t>
  </si>
  <si>
    <t xml:space="preserve">Carlos Cruz </t>
  </si>
  <si>
    <t xml:space="preserve">Sillas Tiffany blancas </t>
  </si>
  <si>
    <t xml:space="preserve">Podio de vidrio </t>
  </si>
  <si>
    <t xml:space="preserve">Rompefilas cinta roja </t>
  </si>
  <si>
    <t>Mesas rectangulares de 8</t>
  </si>
  <si>
    <t xml:space="preserve">Faldones rectangulares </t>
  </si>
  <si>
    <t xml:space="preserve">boquitas 2 dulces 2 saladas </t>
  </si>
  <si>
    <t xml:space="preserve">Refrescos </t>
  </si>
  <si>
    <t xml:space="preserve">Jugos para servir en el momento </t>
  </si>
  <si>
    <t xml:space="preserve">Botes de agua con marca </t>
  </si>
  <si>
    <t xml:space="preserve">Liston para corte de cinta </t>
  </si>
  <si>
    <t xml:space="preserve">Bases de arreglos florales grandes con bases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</si>
</sst>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/>
    </xf>
    <xf numFmtId="0" fontId="1" fillId="0" borderId="7" xfId="0" applyFont="1" applyBorder="1" applyAlignment="1">
      <alignment horizontal="center"/>
    </xf>
    <xf numFmtId="0" fontId="10" fillId="5" borderId="0" xfId="0" applyFont="1" applyFill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/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411" y="7439558"/>
          <a:ext cx="50716" cy="33910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986"/>
          <a:ext cx="6643276" cy="129840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15551</xdr:colOff>
      <xdr:row>34</xdr:row>
      <xdr:rowOff>43716</xdr:rowOff>
    </xdr:from>
    <xdr:to>
      <xdr:col>7</xdr:col>
      <xdr:colOff>1115145</xdr:colOff>
      <xdr:row>44</xdr:row>
      <xdr:rowOff>153345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71061" y="6279675"/>
          <a:ext cx="6620206" cy="2139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222643</xdr:colOff>
      <xdr:row>45</xdr:row>
      <xdr:rowOff>36353</xdr:rowOff>
    </xdr:from>
    <xdr:to>
      <xdr:col>4</xdr:col>
      <xdr:colOff>270268</xdr:colOff>
      <xdr:row>47</xdr:row>
      <xdr:rowOff>123818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8153" y="8488333"/>
          <a:ext cx="2403605" cy="507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144714</xdr:colOff>
      <xdr:row>45</xdr:row>
      <xdr:rowOff>17153</xdr:rowOff>
    </xdr:from>
    <xdr:to>
      <xdr:col>7</xdr:col>
      <xdr:colOff>929321</xdr:colOff>
      <xdr:row>47</xdr:row>
      <xdr:rowOff>108857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806979" y="8469133"/>
          <a:ext cx="2798464" cy="511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127261</xdr:colOff>
      <xdr:row>41</xdr:row>
      <xdr:rowOff>24557</xdr:rowOff>
    </xdr:from>
    <xdr:to>
      <xdr:col>4</xdr:col>
      <xdr:colOff>398516</xdr:colOff>
      <xdr:row>48</xdr:row>
      <xdr:rowOff>95176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771" y="7566802"/>
          <a:ext cx="2627235" cy="1586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Layout" topLeftCell="A15" zoomScale="98" zoomScaleNormal="100" zoomScaleSheetLayoutView="112" zoomScalePageLayoutView="98" workbookViewId="0">
      <selection activeCell="G32" sqref="G3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2" spans="2:9" ht="10.8" customHeight="1"/>
    <row r="6" spans="2:9">
      <c r="H6" s="4" t="s">
        <v>12</v>
      </c>
      <c r="I6" s="1"/>
    </row>
    <row r="7" spans="2:9">
      <c r="H7" s="16" t="s">
        <v>26</v>
      </c>
    </row>
    <row r="11" spans="2:9" ht="10.8" customHeight="1"/>
    <row r="12" spans="2:9" ht="12.6" customHeight="1">
      <c r="B12" s="14" t="s">
        <v>13</v>
      </c>
      <c r="C12" s="30" t="s">
        <v>27</v>
      </c>
      <c r="D12" s="33"/>
      <c r="E12" s="33"/>
      <c r="F12" t="s">
        <v>11</v>
      </c>
      <c r="G12" s="27" t="s">
        <v>30</v>
      </c>
      <c r="H12" s="27"/>
    </row>
    <row r="13" spans="2:9" ht="14.4" customHeight="1">
      <c r="B13" s="29" t="s">
        <v>0</v>
      </c>
      <c r="C13" s="29"/>
      <c r="D13" s="30" t="s">
        <v>28</v>
      </c>
      <c r="E13" s="31"/>
      <c r="F13" s="31"/>
      <c r="G13" s="31"/>
    </row>
    <row r="14" spans="2:9">
      <c r="B14" s="1" t="s">
        <v>1</v>
      </c>
      <c r="C14" s="1" t="s">
        <v>2</v>
      </c>
      <c r="D14" s="32" t="s">
        <v>3</v>
      </c>
      <c r="E14" s="32"/>
      <c r="F14" s="32" t="s">
        <v>10</v>
      </c>
      <c r="G14" s="32"/>
      <c r="H14" s="1" t="s">
        <v>14</v>
      </c>
    </row>
    <row r="15" spans="2:9">
      <c r="B15" s="2">
        <v>45690</v>
      </c>
      <c r="C15" s="1" t="s">
        <v>18</v>
      </c>
      <c r="D15" s="21" t="s">
        <v>29</v>
      </c>
      <c r="E15" s="22"/>
      <c r="F15" s="26" t="s">
        <v>16</v>
      </c>
      <c r="G15" s="27"/>
      <c r="H15" s="10"/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3" t="s">
        <v>7</v>
      </c>
    </row>
    <row r="17" spans="2:8">
      <c r="B17" s="8">
        <v>1</v>
      </c>
      <c r="C17" s="8">
        <v>1</v>
      </c>
      <c r="D17" s="18" t="s">
        <v>19</v>
      </c>
      <c r="E17" s="24"/>
      <c r="F17" s="25"/>
      <c r="G17" s="11">
        <v>3800</v>
      </c>
      <c r="H17" s="12">
        <f>G17*B17*C17</f>
        <v>3800</v>
      </c>
    </row>
    <row r="18" spans="2:8">
      <c r="B18" s="8">
        <v>1</v>
      </c>
      <c r="C18" s="8">
        <v>1</v>
      </c>
      <c r="D18" s="18" t="s">
        <v>25</v>
      </c>
      <c r="E18" s="24"/>
      <c r="F18" s="25"/>
      <c r="G18" s="11">
        <v>12000</v>
      </c>
      <c r="H18" s="12">
        <f>G18*B18*C18</f>
        <v>12000</v>
      </c>
    </row>
    <row r="19" spans="2:8">
      <c r="B19" s="9">
        <v>1</v>
      </c>
      <c r="C19" s="9">
        <v>1</v>
      </c>
      <c r="D19" s="18" t="s">
        <v>20</v>
      </c>
      <c r="E19" s="24"/>
      <c r="F19" s="25"/>
      <c r="G19" s="13">
        <v>4500</v>
      </c>
      <c r="H19" s="12">
        <f t="shared" ref="H19:H34" si="0">G19*B19</f>
        <v>4500</v>
      </c>
    </row>
    <row r="20" spans="2:8">
      <c r="B20" s="9">
        <v>30</v>
      </c>
      <c r="C20" s="9">
        <v>1</v>
      </c>
      <c r="D20" s="18" t="s">
        <v>31</v>
      </c>
      <c r="E20" s="19"/>
      <c r="F20" s="20"/>
      <c r="G20" s="13">
        <v>75</v>
      </c>
      <c r="H20" s="12">
        <f t="shared" si="0"/>
        <v>2250</v>
      </c>
    </row>
    <row r="21" spans="2:8">
      <c r="B21" s="9">
        <v>1</v>
      </c>
      <c r="C21" s="9">
        <v>1</v>
      </c>
      <c r="D21" s="18" t="s">
        <v>32</v>
      </c>
      <c r="E21" s="19"/>
      <c r="F21" s="20"/>
      <c r="G21" s="13">
        <v>2500</v>
      </c>
      <c r="H21" s="12">
        <f t="shared" si="0"/>
        <v>2500</v>
      </c>
    </row>
    <row r="22" spans="2:8">
      <c r="B22" s="9">
        <v>15</v>
      </c>
      <c r="C22" s="9">
        <v>1</v>
      </c>
      <c r="D22" s="18" t="s">
        <v>33</v>
      </c>
      <c r="E22" s="19"/>
      <c r="F22" s="20"/>
      <c r="G22" s="13">
        <v>100</v>
      </c>
      <c r="H22" s="12">
        <f t="shared" si="0"/>
        <v>1500</v>
      </c>
    </row>
    <row r="23" spans="2:8">
      <c r="B23" s="9">
        <v>2</v>
      </c>
      <c r="C23" s="9">
        <v>1</v>
      </c>
      <c r="D23" s="18" t="s">
        <v>34</v>
      </c>
      <c r="E23" s="19"/>
      <c r="F23" s="20"/>
      <c r="G23" s="13">
        <v>80</v>
      </c>
      <c r="H23" s="12">
        <f t="shared" si="0"/>
        <v>160</v>
      </c>
    </row>
    <row r="24" spans="2:8">
      <c r="B24" s="9">
        <v>2</v>
      </c>
      <c r="C24" s="9">
        <v>1</v>
      </c>
      <c r="D24" s="18" t="s">
        <v>35</v>
      </c>
      <c r="E24" s="19"/>
      <c r="F24" s="20"/>
      <c r="G24" s="13">
        <v>250</v>
      </c>
      <c r="H24" s="12">
        <f t="shared" si="0"/>
        <v>500</v>
      </c>
    </row>
    <row r="25" spans="2:8">
      <c r="B25" s="9">
        <v>2</v>
      </c>
      <c r="C25" s="9">
        <v>1</v>
      </c>
      <c r="D25" s="18" t="s">
        <v>21</v>
      </c>
      <c r="E25" s="24"/>
      <c r="F25" s="25"/>
      <c r="G25" s="11">
        <v>1250</v>
      </c>
      <c r="H25" s="12">
        <f t="shared" si="0"/>
        <v>2500</v>
      </c>
    </row>
    <row r="26" spans="2:8">
      <c r="B26" s="9">
        <v>50</v>
      </c>
      <c r="C26" s="9">
        <v>1</v>
      </c>
      <c r="D26" s="18" t="s">
        <v>36</v>
      </c>
      <c r="E26" s="19"/>
      <c r="F26" s="20"/>
      <c r="G26" s="11">
        <v>170</v>
      </c>
      <c r="H26" s="12">
        <f t="shared" si="0"/>
        <v>8500</v>
      </c>
    </row>
    <row r="27" spans="2:8">
      <c r="B27" s="9">
        <v>25</v>
      </c>
      <c r="C27" s="9">
        <v>1</v>
      </c>
      <c r="D27" s="18" t="s">
        <v>37</v>
      </c>
      <c r="E27" s="19"/>
      <c r="F27" s="20"/>
      <c r="G27" s="11">
        <v>35</v>
      </c>
      <c r="H27" s="12">
        <f t="shared" si="0"/>
        <v>875</v>
      </c>
    </row>
    <row r="28" spans="2:8">
      <c r="B28" s="9">
        <v>25</v>
      </c>
      <c r="C28" s="9">
        <v>1</v>
      </c>
      <c r="D28" s="18" t="s">
        <v>38</v>
      </c>
      <c r="E28" s="19"/>
      <c r="F28" s="20"/>
      <c r="G28" s="11">
        <v>35</v>
      </c>
      <c r="H28" s="12">
        <f t="shared" si="0"/>
        <v>875</v>
      </c>
    </row>
    <row r="29" spans="2:8">
      <c r="B29" s="9">
        <v>50</v>
      </c>
      <c r="C29" s="9">
        <v>1</v>
      </c>
      <c r="D29" s="18" t="s">
        <v>39</v>
      </c>
      <c r="E29" s="19"/>
      <c r="F29" s="20"/>
      <c r="G29" s="11">
        <v>60</v>
      </c>
      <c r="H29" s="12">
        <f t="shared" si="0"/>
        <v>3000</v>
      </c>
    </row>
    <row r="30" spans="2:8">
      <c r="B30" s="9">
        <v>2</v>
      </c>
      <c r="C30" s="9">
        <v>1</v>
      </c>
      <c r="D30" s="18" t="s">
        <v>41</v>
      </c>
      <c r="E30" s="19"/>
      <c r="F30" s="20"/>
      <c r="G30" s="11">
        <v>4800</v>
      </c>
      <c r="H30" s="12">
        <f t="shared" si="0"/>
        <v>9600</v>
      </c>
    </row>
    <row r="31" spans="2:8">
      <c r="B31" s="9">
        <v>1</v>
      </c>
      <c r="C31" s="9">
        <v>1</v>
      </c>
      <c r="D31" s="18" t="s">
        <v>40</v>
      </c>
      <c r="E31" s="19"/>
      <c r="F31" s="20"/>
      <c r="G31" s="11">
        <v>500</v>
      </c>
      <c r="H31" s="12">
        <f t="shared" si="0"/>
        <v>500</v>
      </c>
    </row>
    <row r="32" spans="2:8">
      <c r="B32" s="9">
        <v>4</v>
      </c>
      <c r="C32" s="9">
        <v>1</v>
      </c>
      <c r="D32" s="18" t="s">
        <v>22</v>
      </c>
      <c r="E32" s="19"/>
      <c r="F32" s="20"/>
      <c r="G32" s="11">
        <v>0</v>
      </c>
      <c r="H32" s="12">
        <f t="shared" si="0"/>
        <v>0</v>
      </c>
    </row>
    <row r="33" spans="2:8">
      <c r="B33" s="9">
        <v>2</v>
      </c>
      <c r="C33" s="9">
        <v>1</v>
      </c>
      <c r="D33" s="18" t="s">
        <v>23</v>
      </c>
      <c r="E33" s="19"/>
      <c r="F33" s="20"/>
      <c r="G33" s="11">
        <v>0</v>
      </c>
      <c r="H33" s="12">
        <f t="shared" si="0"/>
        <v>0</v>
      </c>
    </row>
    <row r="34" spans="2:8">
      <c r="B34" s="9">
        <v>2</v>
      </c>
      <c r="C34" s="9">
        <v>1</v>
      </c>
      <c r="D34" s="18" t="s">
        <v>24</v>
      </c>
      <c r="E34" s="19"/>
      <c r="F34" s="20"/>
      <c r="G34" s="11">
        <v>0</v>
      </c>
      <c r="H34" s="12">
        <f t="shared" si="0"/>
        <v>0</v>
      </c>
    </row>
    <row r="35" spans="2:8">
      <c r="D35" s="34"/>
      <c r="E35" s="34"/>
      <c r="F35" s="34"/>
      <c r="G35" s="5" t="s">
        <v>9</v>
      </c>
      <c r="H35" s="6">
        <f>SUM(H17:H34)</f>
        <v>53060</v>
      </c>
    </row>
    <row r="36" spans="2:8">
      <c r="G36" s="5" t="s">
        <v>17</v>
      </c>
      <c r="H36" s="7">
        <f>H35*0.15</f>
        <v>7959</v>
      </c>
    </row>
    <row r="37" spans="2:8">
      <c r="G37" s="5" t="s">
        <v>15</v>
      </c>
      <c r="H37" s="7">
        <f>H36+H35</f>
        <v>61019</v>
      </c>
    </row>
    <row r="43" spans="2:8" ht="31.8" customHeight="1"/>
    <row r="44" spans="2:8" ht="10.199999999999999" customHeight="1"/>
    <row r="46" spans="2:8" ht="27.6" customHeight="1"/>
    <row r="47" spans="2:8" ht="5.4" customHeight="1">
      <c r="D47" s="15"/>
      <c r="E47" s="15"/>
      <c r="F47" s="15"/>
      <c r="G47" s="15"/>
      <c r="H47" s="15"/>
    </row>
    <row r="49" spans="1:8" ht="25.2" customHeight="1"/>
    <row r="56" spans="1:8" ht="29.4" customHeight="1"/>
    <row r="57" spans="1:8" ht="6" customHeight="1">
      <c r="A57" s="17"/>
      <c r="B57" s="17"/>
      <c r="C57" s="17"/>
      <c r="D57" s="17"/>
      <c r="E57" s="17"/>
      <c r="F57" s="17"/>
      <c r="G57" s="17"/>
      <c r="H57" s="17"/>
    </row>
    <row r="58" spans="1:8" ht="1.95" customHeight="1"/>
    <row r="59" spans="1:8" ht="7.95" customHeight="1"/>
    <row r="60" spans="1:8" ht="16.05" customHeight="1"/>
    <row r="62" spans="1:8" ht="6" customHeight="1"/>
    <row r="63" spans="1:8" ht="9.75" customHeight="1"/>
  </sheetData>
  <mergeCells count="29">
    <mergeCell ref="D32:F32"/>
    <mergeCell ref="D33:F33"/>
    <mergeCell ref="D35:F35"/>
    <mergeCell ref="D25:F25"/>
    <mergeCell ref="D34:F34"/>
    <mergeCell ref="D26:F26"/>
    <mergeCell ref="D27:F27"/>
    <mergeCell ref="D28:F28"/>
    <mergeCell ref="D29:F29"/>
    <mergeCell ref="D30:F30"/>
    <mergeCell ref="D31:F31"/>
    <mergeCell ref="B1:H1"/>
    <mergeCell ref="B13:C13"/>
    <mergeCell ref="D13:G13"/>
    <mergeCell ref="D14:E14"/>
    <mergeCell ref="G12:H12"/>
    <mergeCell ref="F14:G14"/>
    <mergeCell ref="C12:E12"/>
    <mergeCell ref="D15:E15"/>
    <mergeCell ref="D16:F16"/>
    <mergeCell ref="D17:F17"/>
    <mergeCell ref="F15:G15"/>
    <mergeCell ref="D19:F19"/>
    <mergeCell ref="D18:F18"/>
    <mergeCell ref="D20:F20"/>
    <mergeCell ref="D21:F21"/>
    <mergeCell ref="D22:F22"/>
    <mergeCell ref="D23:F23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2025-02-07T23:24:52Z</cp:lastPrinted>
  <dcterms:created xsi:type="dcterms:W3CDTF">2022-10-19T19:05:00Z</dcterms:created>
  <dcterms:modified xsi:type="dcterms:W3CDTF">2025-02-08T16:27:44Z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