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A4191C14-88CB-4014-9E12-3BD1D4238D8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/>
  <c r="H24" i="1" l="1"/>
  <c r="H25" i="1" l="1"/>
  <c r="H26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<sst xmlns="http://schemas.openxmlformats.org/spreadsheetml/2006/main" count="28" uniqueCount="27">
  <si>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</si>
  <si>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</si>
  <si>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</si>
  <si>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</si>
  <si>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</si>
  <si>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</si>
  <si>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</si>
  <si>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</si>
  <si>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</si>
  <si>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</si>
  <si>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</si>
  <si>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</si>
  <si>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</si>
  <si>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</si>
  <si>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</si>
  <si>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Tania Ulloa </t>
  </si>
  <si>
    <t>Tarima de 7.5X3.75X0.50 Mts con vinil blanco</t>
  </si>
  <si>
    <t>Pantalla Led 5x3</t>
  </si>
  <si>
    <t>Tarima de 1.25x1.25x1 mts para medios de comunicación</t>
  </si>
  <si>
    <t>Luces Roboticas</t>
  </si>
  <si>
    <t>Luces Par Led</t>
  </si>
  <si>
    <t>Parlantes de barra corporativos</t>
  </si>
  <si>
    <t>Pirotecnia Fria (de Cortesia)</t>
  </si>
  <si>
    <t>2025-022</t>
  </si>
  <si>
    <t>RTN</t>
  </si>
  <si>
    <t>FUNDAHRSE</t>
  </si>
  <si>
    <t xml:space="preserve"> salon Palestina del CSHA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</si>
</sst>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&quot;L&quot;#,##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5" fontId="6" fillId="3" borderId="3" xfId="2" applyNumberFormat="1" applyBorder="1" applyAlignment="1"/>
    <xf numFmtId="0" fontId="6" fillId="3" borderId="3" xfId="2" applyBorder="1" applyAlignment="1">
      <alignment horizontal="center"/>
    </xf>
    <xf numFmtId="0" fontId="0" fillId="6" borderId="0" xfId="0" applyFill="1"/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14" fontId="1" fillId="0" borderId="2" xfId="0" applyNumberFormat="1" applyFont="1" applyBorder="1" applyAlignment="1">
      <alignment horizontal="center"/>
    </xf>
    <xf numFmtId="0" fontId="1" fillId="3" borderId="5" xfId="2" applyFont="1" applyBorder="1" applyAlignment="1">
      <alignment horizontal="left"/>
    </xf>
    <xf numFmtId="0" fontId="1" fillId="3" borderId="6" xfId="2" applyFont="1" applyBorder="1" applyAlignment="1">
      <alignment horizontal="left"/>
    </xf>
    <xf numFmtId="0" fontId="1" fillId="3" borderId="4" xfId="2" applyFont="1" applyBorder="1" applyAlignment="1">
      <alignment horizontal="left"/>
    </xf>
    <xf numFmtId="0" fontId="11" fillId="6" borderId="3" xfId="1" applyFont="1" applyFill="1" applyBorder="1" applyAlignment="1">
      <alignment horizontal="center"/>
    </xf>
    <xf numFmtId="0" fontId="11" fillId="6" borderId="5" xfId="1" applyFont="1" applyFill="1" applyBorder="1" applyAlignment="1">
      <alignment horizontal="left"/>
    </xf>
    <xf numFmtId="0" fontId="11" fillId="6" borderId="6" xfId="1" applyFont="1" applyFill="1" applyBorder="1" applyAlignment="1">
      <alignment horizontal="left"/>
    </xf>
    <xf numFmtId="0" fontId="8" fillId="6" borderId="4" xfId="1" applyFont="1" applyFill="1" applyBorder="1" applyAlignment="1">
      <alignment horizontal="center"/>
    </xf>
    <xf numFmtId="0" fontId="12" fillId="6" borderId="0" xfId="0" applyFont="1" applyFill="1"/>
    <xf numFmtId="0" fontId="1" fillId="3" borderId="3" xfId="2" applyFont="1" applyBorder="1" applyAlignment="1">
      <alignment horizontal="center" vertical="center"/>
    </xf>
    <xf numFmtId="0" fontId="1" fillId="3" borderId="3" xfId="2" applyFont="1" applyBorder="1" applyAlignment="1">
      <alignment horizontal="center"/>
    </xf>
    <xf numFmtId="0" fontId="10" fillId="6" borderId="8" xfId="1" applyFont="1" applyFill="1" applyBorder="1" applyAlignment="1">
      <alignment horizontal="right"/>
    </xf>
    <xf numFmtId="0" fontId="10" fillId="6" borderId="9" xfId="1" applyFont="1" applyFill="1" applyBorder="1" applyAlignment="1">
      <alignment horizontal="right"/>
    </xf>
    <xf numFmtId="0" fontId="10" fillId="6" borderId="8" xfId="1" applyFont="1" applyFill="1" applyBorder="1" applyAlignment="1"/>
    <xf numFmtId="0" fontId="10" fillId="6" borderId="9" xfId="1" applyFont="1" applyFill="1" applyBorder="1" applyAlignment="1"/>
    <xf numFmtId="0" fontId="1" fillId="0" borderId="7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582" y="5462749"/>
          <a:ext cx="50716" cy="33727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071"/>
          <a:ext cx="6928683" cy="1338654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23</xdr:row>
      <xdr:rowOff>163794</xdr:rowOff>
    </xdr:from>
    <xdr:to>
      <xdr:col>6</xdr:col>
      <xdr:colOff>783365</xdr:colOff>
      <xdr:row>34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32</xdr:row>
      <xdr:rowOff>601411</xdr:rowOff>
    </xdr:from>
    <xdr:to>
      <xdr:col>4</xdr:col>
      <xdr:colOff>168596</xdr:colOff>
      <xdr:row>34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32</xdr:row>
      <xdr:rowOff>612567</xdr:rowOff>
    </xdr:from>
    <xdr:to>
      <xdr:col>7</xdr:col>
      <xdr:colOff>991200</xdr:colOff>
      <xdr:row>36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29</xdr:row>
      <xdr:rowOff>149553</xdr:rowOff>
    </xdr:from>
    <xdr:to>
      <xdr:col>4</xdr:col>
      <xdr:colOff>684659</xdr:colOff>
      <xdr:row>36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119" zoomScaleNormal="100" zoomScaleSheetLayoutView="112" zoomScalePageLayoutView="119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0.6640625" customWidth="1"/>
    <col min="3" max="3" width="8.77734375" customWidth="1"/>
    <col min="4" max="4" width="12.88671875" customWidth="1"/>
    <col min="5" max="5" width="16.21875" customWidth="1"/>
    <col min="6" max="6" width="21.109375" customWidth="1"/>
    <col min="7" max="7" width="12" customWidth="1"/>
    <col min="8" max="8" width="15.44140625" customWidth="1"/>
    <col min="9" max="9" width="9.21875" customWidth="1"/>
  </cols>
  <sheetData>
    <row r="1" spans="2:9">
      <c r="B1" s="18"/>
      <c r="C1" s="18"/>
      <c r="D1" s="18"/>
      <c r="E1" s="18"/>
      <c r="F1" s="18"/>
      <c r="G1" s="18"/>
      <c r="H1" s="18"/>
    </row>
    <row r="6" spans="2:9">
      <c r="H6" s="6" t="s">
        <v>11</v>
      </c>
      <c r="I6" s="1"/>
    </row>
    <row r="7" spans="2:9">
      <c r="H7" s="38" t="s">
        <v>23</v>
      </c>
    </row>
    <row r="12" spans="2:9" ht="12.6" customHeight="1">
      <c r="B12" s="19" t="s">
        <v>13</v>
      </c>
      <c r="C12" s="19"/>
      <c r="D12" s="41" t="s">
        <v>25</v>
      </c>
      <c r="E12" s="20"/>
      <c r="F12" t="s">
        <v>10</v>
      </c>
      <c r="G12" s="17" t="s">
        <v>15</v>
      </c>
      <c r="H12" s="17"/>
    </row>
    <row r="13" spans="2:9" ht="14.4" customHeight="1">
      <c r="B13" s="19" t="s">
        <v>0</v>
      </c>
      <c r="C13" s="19"/>
      <c r="D13" s="41" t="s">
        <v>26</v>
      </c>
      <c r="E13" s="20"/>
      <c r="F13" s="20"/>
      <c r="G13" s="20"/>
    </row>
    <row r="14" spans="2:9">
      <c r="B14" s="1" t="s">
        <v>1</v>
      </c>
      <c r="C14" s="1" t="s">
        <v>2</v>
      </c>
      <c r="D14" s="21" t="s">
        <v>3</v>
      </c>
      <c r="E14" s="21"/>
      <c r="F14" s="21" t="s">
        <v>24</v>
      </c>
      <c r="G14" s="21"/>
      <c r="H14" s="1" t="s">
        <v>12</v>
      </c>
    </row>
    <row r="15" spans="2:9">
      <c r="B15" s="2">
        <v>45677</v>
      </c>
      <c r="C15" s="1"/>
      <c r="D15" s="23">
        <v>45707</v>
      </c>
      <c r="E15" s="15"/>
      <c r="F15" s="39">
        <v>5019011393313</v>
      </c>
      <c r="G15" s="40"/>
      <c r="H15" s="5">
        <v>100</v>
      </c>
    </row>
    <row r="16" spans="2:9" ht="15.6">
      <c r="B16" s="3" t="s">
        <v>4</v>
      </c>
      <c r="C16" s="3" t="s">
        <v>8</v>
      </c>
      <c r="D16" s="16" t="s">
        <v>5</v>
      </c>
      <c r="E16" s="16"/>
      <c r="F16" s="16"/>
      <c r="G16" s="3" t="s">
        <v>6</v>
      </c>
      <c r="H16" s="3" t="s">
        <v>7</v>
      </c>
    </row>
    <row r="17" spans="2:8" s="12" customFormat="1" ht="15.6" customHeight="1">
      <c r="B17" s="27">
        <v>1</v>
      </c>
      <c r="C17" s="27">
        <v>1</v>
      </c>
      <c r="D17" s="28" t="s">
        <v>16</v>
      </c>
      <c r="E17" s="29"/>
      <c r="F17" s="30"/>
      <c r="G17" s="36">
        <v>9000</v>
      </c>
      <c r="H17" s="34">
        <v>9000</v>
      </c>
    </row>
    <row r="18" spans="2:8" s="12" customFormat="1" ht="15.6" customHeight="1">
      <c r="B18" s="27">
        <v>1</v>
      </c>
      <c r="C18" s="27">
        <v>1</v>
      </c>
      <c r="D18" s="31" t="s">
        <v>18</v>
      </c>
      <c r="E18" s="29"/>
      <c r="F18" s="30"/>
      <c r="G18" s="37"/>
      <c r="H18" s="35"/>
    </row>
    <row r="19" spans="2:8">
      <c r="B19" s="32">
        <v>1</v>
      </c>
      <c r="C19" s="32">
        <v>1</v>
      </c>
      <c r="D19" s="24" t="s">
        <v>17</v>
      </c>
      <c r="E19" s="25"/>
      <c r="F19" s="26"/>
      <c r="G19" s="10">
        <v>30000</v>
      </c>
      <c r="H19" s="10">
        <v>30000</v>
      </c>
    </row>
    <row r="20" spans="2:8" ht="13.2" customHeight="1">
      <c r="B20" s="32">
        <v>4</v>
      </c>
      <c r="C20" s="32">
        <v>1</v>
      </c>
      <c r="D20" s="24" t="s">
        <v>21</v>
      </c>
      <c r="E20" s="25"/>
      <c r="F20" s="26"/>
      <c r="G20" s="10">
        <v>7000</v>
      </c>
      <c r="H20" s="10">
        <v>7000</v>
      </c>
    </row>
    <row r="21" spans="2:8">
      <c r="B21" s="33">
        <v>4</v>
      </c>
      <c r="C21" s="33">
        <v>1</v>
      </c>
      <c r="D21" s="24" t="s">
        <v>19</v>
      </c>
      <c r="E21" s="25"/>
      <c r="F21" s="26"/>
      <c r="G21" s="10">
        <v>700</v>
      </c>
      <c r="H21" s="10">
        <f>G21*B21</f>
        <v>2800</v>
      </c>
    </row>
    <row r="22" spans="2:8">
      <c r="B22" s="11">
        <v>12</v>
      </c>
      <c r="C22" s="11">
        <v>1</v>
      </c>
      <c r="D22" s="24" t="s">
        <v>20</v>
      </c>
      <c r="E22" s="13"/>
      <c r="F22" s="14"/>
      <c r="G22" s="10">
        <v>250</v>
      </c>
      <c r="H22" s="10">
        <f>G22*B22</f>
        <v>3000</v>
      </c>
    </row>
    <row r="23" spans="2:8">
      <c r="B23" s="11">
        <v>4</v>
      </c>
      <c r="C23" s="11">
        <v>1</v>
      </c>
      <c r="D23" s="24" t="s">
        <v>22</v>
      </c>
      <c r="E23" s="13"/>
      <c r="F23" s="14"/>
      <c r="G23" s="10"/>
      <c r="H23" s="10">
        <f t="shared" ref="H23" si="0">G23*C23*B23</f>
        <v>0</v>
      </c>
    </row>
    <row r="24" spans="2:8">
      <c r="D24" s="22"/>
      <c r="E24" s="22"/>
      <c r="F24" s="22"/>
      <c r="G24" s="7" t="s">
        <v>9</v>
      </c>
      <c r="H24" s="8">
        <f>SUM(H17:H23)</f>
        <v>51800</v>
      </c>
    </row>
    <row r="25" spans="2:8">
      <c r="G25" s="7" t="s">
        <v>14</v>
      </c>
      <c r="H25" s="9">
        <f>H24*0.15</f>
        <v>7770</v>
      </c>
    </row>
    <row r="26" spans="2:8">
      <c r="G26" s="7" t="s">
        <v>9</v>
      </c>
      <c r="H26" s="9">
        <f>H25+H24</f>
        <v>59570</v>
      </c>
    </row>
    <row r="33" spans="2:8" ht="62.4" customHeight="1"/>
    <row r="35" spans="2:8" ht="27.6" customHeight="1"/>
    <row r="36" spans="2:8" ht="5.4" customHeight="1">
      <c r="B36" s="4"/>
      <c r="C36" s="4"/>
      <c r="D36" s="4"/>
      <c r="E36" s="4"/>
      <c r="F36" s="4"/>
      <c r="G36" s="4"/>
      <c r="H36" s="4"/>
    </row>
    <row r="38" spans="2:8" ht="25.2" customHeight="1"/>
    <row r="45" spans="2:8" ht="21" customHeight="1"/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9">
    <mergeCell ref="H17:H18"/>
    <mergeCell ref="G17:G18"/>
    <mergeCell ref="D23:F23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22:F22"/>
    <mergeCell ref="D15:E15"/>
    <mergeCell ref="D16:F16"/>
    <mergeCell ref="D19:F19"/>
    <mergeCell ref="F15:G15"/>
    <mergeCell ref="D21:F21"/>
    <mergeCell ref="D20:F20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2025-01-20T23:01:00Z</cp:lastPrinted>
  <dcterms:created xsi:type="dcterms:W3CDTF">2022-10-19T19:05:00Z</dcterms:created>
  <dcterms:modified xsi:type="dcterms:W3CDTF">2025-01-20T23:04:31Z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