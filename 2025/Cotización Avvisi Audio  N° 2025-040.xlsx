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35FAF22-BC86-4999-B24C-9F4F20B79A4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9" i="1" l="1"/>
  <c r="H20" i="1"/>
  <c r="H21" i="1"/>
  <c r="H22" i="1"/>
  <c r="H23" i="1"/>
  <c r="H24" i="1"/>
  <c r="H25" i="1"/>
  <c r="H18" i="1"/>
  <c r="H17" i="1"/>
  <c r="H26" i="1" l="1"/>
  <c r="H28" i="1" s="1"/>
</calcChain>
</file>

<file path=xl/sharedStrings.xml><?xml version="1.0" encoding="utf-8"?>
<sst xmlns="http://schemas.openxmlformats.org/spreadsheetml/2006/main" count="29" uniqueCount="29">
  <si>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</si>
  <si>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</si>
  <si>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</si>
  <si>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</si>
  <si>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</si>
  <si>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</si>
  <si>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</si>
  <si>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</si>
  <si>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</si>
  <si>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</si>
  <si>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</si>
  <si>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</si>
  <si>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</si>
  <si>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</si>
  <si>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</si>
  <si>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</si>
  <si>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</si>
  <si>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</si>
  <si>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</si>
  <si>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</si>
  <si>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</si>
  <si>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</si>
  <si>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</si>
  <si>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</si>
  <si>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Traslado ( Danli ) </t>
  </si>
  <si>
    <t xml:space="preserve">Viaticos , alimentacion  </t>
  </si>
  <si>
    <t xml:space="preserve">Pantalla led 3 x2  </t>
  </si>
  <si>
    <t xml:space="preserve">Cuadrante techado </t>
  </si>
  <si>
    <t>2025-040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</si>
</sst>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57873</xdr:rowOff>
    </xdr:from>
    <xdr:to>
      <xdr:col>7</xdr:col>
      <xdr:colOff>1080303</xdr:colOff>
      <xdr:row>36</xdr:row>
      <xdr:rowOff>55383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697392"/>
          <a:ext cx="6761544" cy="29876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H28" sqref="H2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5" t="s">
        <v>12</v>
      </c>
      <c r="I6" s="1"/>
    </row>
    <row r="7" spans="2:9">
      <c r="H7" s="34" t="s">
        <v>28</v>
      </c>
    </row>
    <row r="12" spans="2:9" ht="12.6" customHeight="1">
      <c r="B12" s="24" t="s">
        <v>13</v>
      </c>
      <c r="C12" s="24"/>
      <c r="D12" s="25" t="s">
        <v>23</v>
      </c>
      <c r="E12" s="26"/>
      <c r="F12" t="s">
        <v>11</v>
      </c>
      <c r="G12" s="22" t="s">
        <v>22</v>
      </c>
      <c r="H12" s="22"/>
    </row>
    <row r="13" spans="2:9" ht="14.4" customHeight="1">
      <c r="B13" s="24" t="s">
        <v>0</v>
      </c>
      <c r="C13" s="24"/>
      <c r="D13" s="25" t="s">
        <v>18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14</v>
      </c>
    </row>
    <row r="15" spans="2:9">
      <c r="B15" s="2">
        <v>45686</v>
      </c>
      <c r="C15" s="1" t="s">
        <v>15</v>
      </c>
      <c r="D15" s="15" t="s">
        <v>19</v>
      </c>
      <c r="E15" s="16"/>
      <c r="F15" s="21" t="s">
        <v>20</v>
      </c>
      <c r="G15" s="22"/>
      <c r="H15" s="11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8" t="s">
        <v>26</v>
      </c>
      <c r="E17" s="19"/>
      <c r="F17" s="20"/>
      <c r="G17" s="12">
        <v>12000</v>
      </c>
      <c r="H17" s="13">
        <f>G17*B17*C17</f>
        <v>12000</v>
      </c>
    </row>
    <row r="18" spans="2:8">
      <c r="B18" s="9">
        <v>1</v>
      </c>
      <c r="C18" s="9">
        <v>1</v>
      </c>
      <c r="D18" s="18" t="s">
        <v>27</v>
      </c>
      <c r="E18" s="19"/>
      <c r="F18" s="20"/>
      <c r="G18" s="12">
        <v>4500</v>
      </c>
      <c r="H18" s="13">
        <f>G18*B18*C18</f>
        <v>4500</v>
      </c>
    </row>
    <row r="19" spans="2:8">
      <c r="B19" s="10">
        <v>1</v>
      </c>
      <c r="C19" s="10">
        <v>1</v>
      </c>
      <c r="D19" s="18" t="s">
        <v>17</v>
      </c>
      <c r="E19" s="19"/>
      <c r="F19" s="20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18" t="s">
        <v>21</v>
      </c>
      <c r="E20" s="19"/>
      <c r="F20" s="20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18" t="s">
        <v>24</v>
      </c>
      <c r="E21" s="32"/>
      <c r="F21" s="33"/>
      <c r="G21" s="12">
        <v>2500</v>
      </c>
      <c r="H21" s="13">
        <f t="shared" si="0"/>
        <v>2500</v>
      </c>
    </row>
    <row r="22" spans="2:8" ht="16.2" customHeight="1">
      <c r="B22" s="10">
        <v>1</v>
      </c>
      <c r="C22" s="10">
        <v>2</v>
      </c>
      <c r="D22" s="18" t="s">
        <v>25</v>
      </c>
      <c r="E22" s="19"/>
      <c r="F22" s="20"/>
      <c r="G22" s="12">
        <v>2500</v>
      </c>
      <c r="H22" s="13">
        <f t="shared" si="0"/>
        <v>5000</v>
      </c>
    </row>
    <row r="23" spans="2:8" ht="16.2" customHeight="1">
      <c r="B23" s="10"/>
      <c r="C23" s="10"/>
      <c r="D23" s="18"/>
      <c r="E23" s="32"/>
      <c r="F23" s="33"/>
      <c r="G23" s="12"/>
      <c r="H23" s="13">
        <f t="shared" si="0"/>
        <v>0</v>
      </c>
    </row>
    <row r="24" spans="2:8" ht="16.2" customHeight="1">
      <c r="B24" s="10"/>
      <c r="C24" s="10"/>
      <c r="D24" s="18"/>
      <c r="E24" s="32"/>
      <c r="F24" s="33"/>
      <c r="G24" s="12"/>
      <c r="H24" s="13">
        <f t="shared" si="0"/>
        <v>0</v>
      </c>
    </row>
    <row r="25" spans="2:8">
      <c r="B25" s="9"/>
      <c r="C25" s="9"/>
      <c r="D25" s="29"/>
      <c r="E25" s="30"/>
      <c r="F25" s="31"/>
      <c r="G25" s="12"/>
      <c r="H25" s="13">
        <f t="shared" si="0"/>
        <v>0</v>
      </c>
    </row>
    <row r="26" spans="2:8">
      <c r="D26" s="28"/>
      <c r="E26" s="28"/>
      <c r="F26" s="28"/>
      <c r="G26" s="6" t="s">
        <v>9</v>
      </c>
      <c r="H26" s="7">
        <f>SUM(H17:H25)</f>
        <v>31000</v>
      </c>
    </row>
    <row r="27" spans="2:8">
      <c r="G27" s="6"/>
      <c r="H27" s="8">
        <f>H26*0.15</f>
        <v>4650</v>
      </c>
    </row>
    <row r="28" spans="2:8">
      <c r="G28" s="6" t="s">
        <v>16</v>
      </c>
      <c r="H28" s="8">
        <f>H27+H26</f>
        <v>35650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26:F26"/>
    <mergeCell ref="D25:F25"/>
    <mergeCell ref="D20:F20"/>
    <mergeCell ref="D22:F22"/>
    <mergeCell ref="D21:F21"/>
    <mergeCell ref="D23:F23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2025-01-29T15:14:56Z</cp:lastPrinted>
  <dcterms:created xsi:type="dcterms:W3CDTF">2022-10-19T19:05:00Z</dcterms:created>
  <dcterms:modified xsi:type="dcterms:W3CDTF">2025-01-29T16:06:08Z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