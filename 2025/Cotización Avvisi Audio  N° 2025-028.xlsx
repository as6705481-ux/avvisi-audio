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8333F2B-4B4D-4874-920A-86A914B769D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4" i="1"/>
  <c r="H23" i="1"/>
  <c r="H25" i="1"/>
  <c r="H26" i="1"/>
  <c r="G18" i="1"/>
  <c r="H18" i="1" s="1"/>
  <c r="G17" i="1"/>
  <c r="H17" i="1" s="1"/>
  <c r="H21" i="1"/>
  <c r="H22" i="1"/>
  <c r="H27" i="1"/>
  <c r="H29" i="1"/>
  <c r="H30" i="1" l="1"/>
  <c r="H31" i="1" s="1"/>
  <c r="H32" i="1" l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<sst xmlns="http://schemas.openxmlformats.org/spreadsheetml/2006/main" count="36" uniqueCount="35">
  <si>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</si>
  <si>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</si>
  <si>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</si>
  <si>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</si>
  <si>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</si>
  <si>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</si>
  <si>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</si>
  <si>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</si>
  <si>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</si>
  <si>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</si>
  <si>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</si>
  <si>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</si>
  <si>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</si>
  <si>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</si>
  <si>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ISV 15 %</t>
  </si>
  <si>
    <t xml:space="preserve">Eufemio Martinez </t>
  </si>
  <si>
    <t xml:space="preserve">Corporativo </t>
  </si>
  <si>
    <t xml:space="preserve">RTN  </t>
  </si>
  <si>
    <t>Colegio de Profesionales de Enfermeria</t>
  </si>
  <si>
    <t>7,8 y 9 mayo 2025</t>
  </si>
  <si>
    <t xml:space="preserve">Audio </t>
  </si>
  <si>
    <t>Microfonos</t>
  </si>
  <si>
    <t>Circuito cerrado con transmision simultánea</t>
  </si>
  <si>
    <t>Roboticas (Ilumincacion)</t>
  </si>
  <si>
    <t>Par led (Ilumicacion)</t>
  </si>
  <si>
    <t>Pantallas led 3x4</t>
  </si>
  <si>
    <t>Pantallas led  3x6</t>
  </si>
  <si>
    <t>Tarima 3x6</t>
  </si>
  <si>
    <t>grabación del evento 3 camaras</t>
  </si>
  <si>
    <t>Tecnico de Audio, Video e Iluminacion</t>
  </si>
  <si>
    <t>Traslado</t>
  </si>
  <si>
    <t>Pantalla de 55"</t>
  </si>
  <si>
    <t>Monitor de video de piso</t>
  </si>
  <si>
    <t>2025-028</t>
  </si>
  <si>
    <t>San Pedro Sula / hotelCoplant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</si>
</sst>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165" fontId="6" fillId="3" borderId="3" xfId="3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0" fontId="0" fillId="0" borderId="2" xfId="0" applyBorder="1"/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64" fontId="0" fillId="0" borderId="0" xfId="0" applyNumberFormat="1"/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696" y="6459976"/>
          <a:ext cx="50716" cy="3305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733"/>
          <a:ext cx="6848231" cy="131528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29</xdr:row>
      <xdr:rowOff>27025</xdr:rowOff>
    </xdr:from>
    <xdr:to>
      <xdr:col>7</xdr:col>
      <xdr:colOff>79980</xdr:colOff>
      <xdr:row>39</xdr:row>
      <xdr:rowOff>100972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9795" y="5308922"/>
          <a:ext cx="5811262" cy="2874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37</xdr:row>
      <xdr:rowOff>1</xdr:rowOff>
    </xdr:from>
    <xdr:to>
      <xdr:col>4</xdr:col>
      <xdr:colOff>628779</xdr:colOff>
      <xdr:row>40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39" zoomScale="117" zoomScaleNormal="100" zoomScaleSheetLayoutView="112" zoomScalePageLayoutView="11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5546875" customWidth="1"/>
    <col min="6" max="6" width="17" customWidth="1"/>
    <col min="7" max="7" width="12" customWidth="1"/>
    <col min="8" max="8" width="16.77734375" customWidth="1"/>
    <col min="9" max="9" width="9.21875" customWidth="1"/>
  </cols>
  <sheetData>
    <row r="1" spans="2:9">
      <c r="B1" s="31"/>
      <c r="C1" s="31"/>
      <c r="D1" s="31"/>
      <c r="E1" s="31"/>
      <c r="F1" s="31"/>
      <c r="G1" s="31"/>
      <c r="H1" s="31"/>
    </row>
    <row r="6" spans="2:9">
      <c r="H6" s="5" t="s">
        <v>12</v>
      </c>
      <c r="I6" s="1"/>
    </row>
    <row r="7" spans="2:9">
      <c r="H7" s="42" t="s">
        <v>33</v>
      </c>
    </row>
    <row r="12" spans="2:9" ht="12.6" customHeight="1">
      <c r="B12" s="32" t="s">
        <v>13</v>
      </c>
      <c r="C12" s="32"/>
      <c r="D12" s="39" t="s">
        <v>18</v>
      </c>
      <c r="E12" s="33"/>
      <c r="F12" t="s">
        <v>11</v>
      </c>
      <c r="G12" s="35" t="s">
        <v>15</v>
      </c>
      <c r="H12" s="35"/>
    </row>
    <row r="13" spans="2:9" ht="14.4" customHeight="1">
      <c r="B13" s="32" t="s">
        <v>0</v>
      </c>
      <c r="C13" s="32"/>
      <c r="D13" s="39" t="s">
        <v>34</v>
      </c>
      <c r="E13" s="33"/>
      <c r="F13" s="33"/>
      <c r="G13" s="33"/>
    </row>
    <row r="14" spans="2:9">
      <c r="B14" s="1" t="s">
        <v>1</v>
      </c>
      <c r="C14" s="1" t="s">
        <v>2</v>
      </c>
      <c r="D14" s="34" t="s">
        <v>3</v>
      </c>
      <c r="E14" s="34"/>
      <c r="F14" s="34" t="s">
        <v>10</v>
      </c>
      <c r="G14" s="34"/>
      <c r="H14" s="1" t="s">
        <v>17</v>
      </c>
    </row>
    <row r="15" spans="2:9">
      <c r="B15" s="2">
        <v>45682</v>
      </c>
      <c r="C15" s="1"/>
      <c r="D15" s="40" t="s">
        <v>19</v>
      </c>
      <c r="E15" s="36"/>
      <c r="F15" s="38" t="s">
        <v>16</v>
      </c>
      <c r="G15" s="35"/>
      <c r="H15" s="21">
        <v>8019995290058</v>
      </c>
    </row>
    <row r="16" spans="2:9" ht="15.6">
      <c r="B16" s="3" t="s">
        <v>4</v>
      </c>
      <c r="C16" s="3" t="s">
        <v>8</v>
      </c>
      <c r="D16" s="37" t="s">
        <v>5</v>
      </c>
      <c r="E16" s="37"/>
      <c r="F16" s="37"/>
      <c r="G16" s="3" t="s">
        <v>6</v>
      </c>
      <c r="H16" s="3" t="s">
        <v>7</v>
      </c>
    </row>
    <row r="17" spans="2:8">
      <c r="B17" s="9">
        <v>1</v>
      </c>
      <c r="C17" s="9">
        <v>3</v>
      </c>
      <c r="D17" s="26" t="s">
        <v>26</v>
      </c>
      <c r="E17" s="27"/>
      <c r="F17" s="28"/>
      <c r="G17" s="10">
        <f>72*500</f>
        <v>36000</v>
      </c>
      <c r="H17" s="20">
        <f>B17*G17*C17</f>
        <v>108000</v>
      </c>
    </row>
    <row r="18" spans="2:8">
      <c r="B18" s="9">
        <v>2</v>
      </c>
      <c r="C18" s="9">
        <v>3</v>
      </c>
      <c r="D18" s="26" t="s">
        <v>25</v>
      </c>
      <c r="E18" s="27"/>
      <c r="F18" s="28"/>
      <c r="G18" s="10">
        <f>48*500</f>
        <v>24000</v>
      </c>
      <c r="H18" s="20">
        <f t="shared" ref="H18:H29" si="0">B18*G18*C18</f>
        <v>144000</v>
      </c>
    </row>
    <row r="19" spans="2:8">
      <c r="B19" s="9">
        <v>1</v>
      </c>
      <c r="C19" s="9">
        <v>3</v>
      </c>
      <c r="D19" s="12" t="s">
        <v>32</v>
      </c>
      <c r="E19" s="13"/>
      <c r="F19" s="14"/>
      <c r="G19" s="10">
        <v>1500</v>
      </c>
      <c r="H19" s="20">
        <f t="shared" si="0"/>
        <v>4500</v>
      </c>
    </row>
    <row r="20" spans="2:8">
      <c r="B20" s="9">
        <v>4</v>
      </c>
      <c r="C20" s="9">
        <v>3</v>
      </c>
      <c r="D20" s="12" t="s">
        <v>31</v>
      </c>
      <c r="E20" s="13"/>
      <c r="F20" s="14"/>
      <c r="G20" s="10">
        <v>1500</v>
      </c>
      <c r="H20" s="20">
        <f t="shared" si="0"/>
        <v>18000</v>
      </c>
    </row>
    <row r="21" spans="2:8">
      <c r="B21" s="11">
        <v>1</v>
      </c>
      <c r="C21" s="9">
        <v>3</v>
      </c>
      <c r="D21" s="26" t="s">
        <v>20</v>
      </c>
      <c r="E21" s="27"/>
      <c r="F21" s="28"/>
      <c r="G21" s="10">
        <v>13000</v>
      </c>
      <c r="H21" s="20">
        <f t="shared" si="0"/>
        <v>39000</v>
      </c>
    </row>
    <row r="22" spans="2:8">
      <c r="B22" s="11">
        <v>4</v>
      </c>
      <c r="C22" s="9">
        <v>3</v>
      </c>
      <c r="D22" s="22" t="s">
        <v>21</v>
      </c>
      <c r="E22" s="23"/>
      <c r="F22" s="24"/>
      <c r="G22" s="10">
        <v>250</v>
      </c>
      <c r="H22" s="20">
        <f t="shared" si="0"/>
        <v>3000</v>
      </c>
    </row>
    <row r="23" spans="2:8">
      <c r="B23" s="11">
        <v>20</v>
      </c>
      <c r="C23" s="9">
        <v>3</v>
      </c>
      <c r="D23" s="17" t="s">
        <v>24</v>
      </c>
      <c r="E23" s="18"/>
      <c r="F23" s="19"/>
      <c r="G23" s="10">
        <v>250</v>
      </c>
      <c r="H23" s="20">
        <f t="shared" si="0"/>
        <v>15000</v>
      </c>
    </row>
    <row r="24" spans="2:8">
      <c r="B24" s="11">
        <v>6</v>
      </c>
      <c r="C24" s="9">
        <v>3</v>
      </c>
      <c r="D24" s="26" t="s">
        <v>23</v>
      </c>
      <c r="E24" s="27"/>
      <c r="F24" s="28"/>
      <c r="G24" s="10">
        <v>1000</v>
      </c>
      <c r="H24" s="20">
        <f>B24*G24*C24</f>
        <v>18000</v>
      </c>
    </row>
    <row r="25" spans="2:8">
      <c r="B25" s="11">
        <v>1</v>
      </c>
      <c r="C25" s="9">
        <v>3</v>
      </c>
      <c r="D25" s="26" t="s">
        <v>22</v>
      </c>
      <c r="E25" s="27"/>
      <c r="F25" s="28"/>
      <c r="G25" s="10">
        <v>15000</v>
      </c>
      <c r="H25" s="20">
        <f t="shared" si="0"/>
        <v>45000</v>
      </c>
    </row>
    <row r="26" spans="2:8">
      <c r="B26" s="11">
        <v>1</v>
      </c>
      <c r="C26" s="9">
        <v>3</v>
      </c>
      <c r="D26" s="26" t="s">
        <v>28</v>
      </c>
      <c r="E26" s="27"/>
      <c r="F26" s="28"/>
      <c r="G26" s="10">
        <v>3000</v>
      </c>
      <c r="H26" s="20">
        <f t="shared" si="0"/>
        <v>9000</v>
      </c>
    </row>
    <row r="27" spans="2:8">
      <c r="B27" s="11">
        <v>1</v>
      </c>
      <c r="C27" s="9">
        <v>3</v>
      </c>
      <c r="D27" s="26" t="s">
        <v>27</v>
      </c>
      <c r="E27" s="29"/>
      <c r="F27" s="30"/>
      <c r="G27" s="10">
        <v>14000</v>
      </c>
      <c r="H27" s="20">
        <f t="shared" si="0"/>
        <v>42000</v>
      </c>
    </row>
    <row r="28" spans="2:8">
      <c r="B28" s="11">
        <v>1</v>
      </c>
      <c r="C28" s="9">
        <v>1</v>
      </c>
      <c r="D28" s="12" t="s">
        <v>30</v>
      </c>
      <c r="E28" s="15"/>
      <c r="F28" s="16"/>
      <c r="G28" s="10">
        <v>3200</v>
      </c>
      <c r="H28" s="20">
        <v>3200</v>
      </c>
    </row>
    <row r="29" spans="2:8">
      <c r="B29" s="11">
        <v>3</v>
      </c>
      <c r="C29" s="11">
        <v>3</v>
      </c>
      <c r="D29" s="26" t="s">
        <v>29</v>
      </c>
      <c r="E29" s="29"/>
      <c r="F29" s="30"/>
      <c r="G29" s="10">
        <v>1000</v>
      </c>
      <c r="H29" s="20">
        <f t="shared" si="0"/>
        <v>9000</v>
      </c>
    </row>
    <row r="30" spans="2:8">
      <c r="D30" s="25"/>
      <c r="E30" s="25"/>
      <c r="F30" s="25"/>
      <c r="G30" s="6" t="s">
        <v>9</v>
      </c>
      <c r="H30" s="7">
        <f>SUM(H17:H29)</f>
        <v>457700</v>
      </c>
    </row>
    <row r="31" spans="2:8">
      <c r="G31" s="6" t="s">
        <v>14</v>
      </c>
      <c r="H31" s="8">
        <f>H30*0.15</f>
        <v>68655</v>
      </c>
    </row>
    <row r="32" spans="2:8">
      <c r="G32" s="6" t="s">
        <v>9</v>
      </c>
      <c r="H32" s="8">
        <f>H31+H30</f>
        <v>526355</v>
      </c>
    </row>
    <row r="35" spans="2:8">
      <c r="H35" s="41"/>
    </row>
    <row r="38" spans="2:8" ht="31.8" customHeight="1"/>
    <row r="39" spans="2:8" ht="73.8" customHeight="1"/>
    <row r="41" spans="2:8" ht="27.6" customHeight="1"/>
    <row r="42" spans="2:8" ht="5.4" customHeight="1">
      <c r="B42" s="4"/>
      <c r="C42" s="4"/>
      <c r="D42" s="4"/>
      <c r="E42" s="4"/>
      <c r="F42" s="4"/>
      <c r="G42" s="4"/>
      <c r="H42" s="4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1">
    <mergeCell ref="D15:E15"/>
    <mergeCell ref="D16:F16"/>
    <mergeCell ref="D17:F17"/>
    <mergeCell ref="F15:G15"/>
    <mergeCell ref="D21:F21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2:F22"/>
    <mergeCell ref="D30:F30"/>
    <mergeCell ref="D26:F26"/>
    <mergeCell ref="D24:F24"/>
    <mergeCell ref="D25:F25"/>
    <mergeCell ref="D27:F27"/>
    <mergeCell ref="D29:F29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2025-01-23T16:50:01Z</cp:lastPrinted>
  <dcterms:created xsi:type="dcterms:W3CDTF">2022-10-19T19:05:00Z</dcterms:created>
  <dcterms:modified xsi:type="dcterms:W3CDTF">2025-01-26T04:42:20Z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