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8_{AAA55418-9CAC-4838-BC70-73CC580C2EBA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4" i="1"/>
  <c r="H23" i="1"/>
  <c r="H22" i="1"/>
  <c r="H21" i="1"/>
  <c r="H20" i="1"/>
  <c r="H19" i="1"/>
  <c r="H18" i="1"/>
  <c r="H17" i="1"/>
  <c r="H28" i="1" l="1"/>
  <c r="H29" i="1" l="1"/>
  <c r="H30" i="1" s="1"/>
</calcChain>
</file>

<file path=xl/sharedStrings.xml><?xml version="1.0" encoding="utf-8"?>
<sst xmlns="http://schemas.openxmlformats.org/spreadsheetml/2006/main" count="31" uniqueCount="31">
  <si>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</si>
  <si>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</si>
  <si>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</si>
  <si>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</si>
  <si>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</si>
  <si>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</si>
  <si>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</si>
  <si>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</si>
  <si>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</si>
  <si>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 xml:space="preserve">5 horas  </t>
  </si>
  <si>
    <t>Dias</t>
  </si>
  <si>
    <t xml:space="preserve">Total </t>
  </si>
  <si>
    <t xml:space="preserve">Sub Total </t>
  </si>
  <si>
    <t>ISV 15%</t>
  </si>
  <si>
    <t xml:space="preserve">Tipo de evento </t>
  </si>
  <si>
    <t>Ejecutivo de Venta</t>
  </si>
  <si>
    <t>Cotizacion N°</t>
  </si>
  <si>
    <t>Tegucigalpa</t>
  </si>
  <si>
    <t>2024-301</t>
  </si>
  <si>
    <t xml:space="preserve">Excell Publicidad y Mercadeo </t>
  </si>
  <si>
    <t xml:space="preserve">Evento con Marca </t>
  </si>
  <si>
    <t>Pantalla Led 10 x 3 m</t>
  </si>
  <si>
    <t xml:space="preserve">Audio para 150 personas </t>
  </si>
  <si>
    <t xml:space="preserve">Luces led </t>
  </si>
  <si>
    <t>Luces Roboticas 7r 230w</t>
  </si>
  <si>
    <t xml:space="preserve">Tarima de 12 x 3.75 en blanco </t>
  </si>
  <si>
    <t xml:space="preserve">DJ Booth led 2 x 1 </t>
  </si>
  <si>
    <t>Personal de staff</t>
  </si>
  <si>
    <t xml:space="preserve">Transporte ida y regreso </t>
  </si>
  <si>
    <t xml:space="preserve">Estructura Truss 10 x 3 x 1 </t>
  </si>
  <si>
    <t xml:space="preserve"> 12/06/2024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</si>
</sst>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5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4">
    <xf numFmtId="0" fontId="0" fillId="0" borderId="0"/>
    <xf numFmtId="0" fontId="2" fillId="4" borderId="7" applyNumberFormat="0" applyAlignment="0" applyProtection="0"/>
    <xf numFmtId="0" fontId="3" fillId="5" borderId="0" applyNumberFormat="0" applyBorder="0" applyAlignment="0" applyProtection="0"/>
    <xf numFmtId="0" fontId="4" fillId="3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3" xfId="2" applyFont="1" applyFill="1" applyBorder="1" applyAlignment="1">
      <alignment horizontal="center"/>
    </xf>
    <xf numFmtId="0" fontId="4" fillId="3" borderId="3" xfId="3" applyBorder="1" applyAlignment="1">
      <alignment horizontal="center"/>
    </xf>
    <xf numFmtId="164" fontId="4" fillId="3" borderId="3" xfId="3" applyNumberFormat="1" applyBorder="1"/>
    <xf numFmtId="0" fontId="2" fillId="2" borderId="4" xfId="3" applyFont="1" applyFill="1" applyBorder="1" applyAlignment="1">
      <alignment horizontal="center"/>
    </xf>
    <xf numFmtId="164" fontId="2" fillId="2" borderId="5" xfId="3" applyNumberFormat="1" applyFont="1" applyFill="1" applyBorder="1"/>
    <xf numFmtId="0" fontId="2" fillId="2" borderId="6" xfId="3" applyFont="1" applyFill="1" applyBorder="1" applyAlignment="1">
      <alignment horizontal="center"/>
    </xf>
    <xf numFmtId="164" fontId="2" fillId="2" borderId="3" xfId="3" applyNumberFormat="1" applyFont="1" applyFill="1" applyBorder="1"/>
    <xf numFmtId="0" fontId="2" fillId="2" borderId="3" xfId="1" applyFill="1" applyBorder="1" applyAlignment="1">
      <alignment horizontal="center"/>
    </xf>
    <xf numFmtId="164" fontId="2" fillId="2" borderId="3" xfId="1" applyNumberFormat="1" applyFill="1" applyBorder="1"/>
    <xf numFmtId="0" fontId="0" fillId="2" borderId="0" xfId="0" applyFill="1" applyAlignment="1">
      <alignment horizontal="center"/>
    </xf>
    <xf numFmtId="164" fontId="0" fillId="3" borderId="3" xfId="3" applyNumberFormat="1" applyFont="1" applyBorder="1"/>
    <xf numFmtId="164" fontId="4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/>
    <xf numFmtId="0" fontId="0" fillId="3" borderId="3" xfId="3" applyFont="1" applyBorder="1" applyAlignment="1">
      <alignment horizontal="left" vertical="center"/>
    </xf>
    <xf numFmtId="0" fontId="4" fillId="3" borderId="3" xfId="3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4" fillId="3" borderId="3" xfId="3" applyBorder="1" applyAlignment="1">
      <alignment horizontal="left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20089" y="6481550"/>
          <a:ext cx="50716" cy="331004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269875</xdr:colOff>
      <xdr:row>1</xdr:row>
      <xdr:rowOff>16790</xdr:rowOff>
    </xdr:from>
    <xdr:to>
      <xdr:col>8</xdr:col>
      <xdr:colOff>15874</xdr:colOff>
      <xdr:row>8</xdr:row>
      <xdr:rowOff>55561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69875" y="199353"/>
          <a:ext cx="6222999" cy="13325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635358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934528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45" y="1577340"/>
          <a:ext cx="6218555" cy="497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9524</xdr:colOff>
      <xdr:row>27</xdr:row>
      <xdr:rowOff>54042</xdr:rowOff>
    </xdr:from>
    <xdr:to>
      <xdr:col>8</xdr:col>
      <xdr:colOff>15239</xdr:colOff>
      <xdr:row>39</xdr:row>
      <xdr:rowOff>114300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52424" y="4984182"/>
          <a:ext cx="5895975" cy="2254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38</xdr:row>
      <xdr:rowOff>38100</xdr:rowOff>
    </xdr:from>
    <xdr:to>
      <xdr:col>4</xdr:col>
      <xdr:colOff>131445</xdr:colOff>
      <xdr:row>43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38</xdr:row>
      <xdr:rowOff>76200</xdr:rowOff>
    </xdr:from>
    <xdr:to>
      <xdr:col>7</xdr:col>
      <xdr:colOff>852805</xdr:colOff>
      <xdr:row>44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3"/>
  <sheetViews>
    <sheetView tabSelected="1" view="pageLayout" topLeftCell="A6" zoomScale="96" zoomScaleNormal="100" zoomScaleSheetLayoutView="112" zoomScalePageLayoutView="96" workbookViewId="0">
      <selection activeCell="I6" sqref="I6"/>
    </sheetView>
  </sheetViews>
  <sheetFormatPr baseColWidth="10" defaultColWidth="11" defaultRowHeight="14.4"/>
  <cols>
    <col min="1" max="1" width="5" customWidth="1"/>
    <col min="2" max="2" width="12.109375" customWidth="1"/>
    <col min="3" max="3" width="7.88671875" bestFit="1" customWidth="1"/>
    <col min="4" max="4" width="12.88671875" customWidth="1"/>
    <col min="6" max="6" width="16.5546875" customWidth="1"/>
    <col min="7" max="7" width="11.5546875"/>
    <col min="8" max="8" width="13.88671875" customWidth="1"/>
  </cols>
  <sheetData>
    <row r="1" spans="2:9">
      <c r="B1" s="20"/>
      <c r="C1" s="20"/>
      <c r="D1" s="20"/>
      <c r="E1" s="20"/>
      <c r="F1" s="20"/>
      <c r="G1" s="20"/>
      <c r="H1" s="20"/>
    </row>
    <row r="5" spans="2:9" ht="15" thickBot="1"/>
    <row r="6" spans="2:9" ht="15" thickBot="1">
      <c r="H6" s="16" t="s">
        <v>16</v>
      </c>
      <c r="I6" s="16" t="s">
        <v>18</v>
      </c>
    </row>
    <row r="12" spans="2:9" ht="12.6" customHeight="1">
      <c r="B12" s="21" t="s">
        <v>0</v>
      </c>
      <c r="C12" s="21"/>
      <c r="D12" s="22" t="s">
        <v>19</v>
      </c>
      <c r="E12" s="22"/>
      <c r="F12" t="s">
        <v>15</v>
      </c>
      <c r="G12" s="24"/>
      <c r="H12" s="24"/>
    </row>
    <row r="13" spans="2:9" ht="14.4" customHeight="1">
      <c r="B13" s="21" t="s">
        <v>1</v>
      </c>
      <c r="C13" s="21"/>
      <c r="D13" s="22" t="s">
        <v>17</v>
      </c>
      <c r="E13" s="22"/>
      <c r="F13" s="22"/>
      <c r="G13" s="22"/>
    </row>
    <row r="14" spans="2:9">
      <c r="B14" s="1" t="s">
        <v>2</v>
      </c>
      <c r="C14" s="1" t="s">
        <v>3</v>
      </c>
      <c r="D14" s="23" t="s">
        <v>4</v>
      </c>
      <c r="E14" s="23"/>
      <c r="F14" s="20" t="s">
        <v>14</v>
      </c>
      <c r="G14" s="20"/>
      <c r="H14" s="20"/>
    </row>
    <row r="15" spans="2:9">
      <c r="B15" s="2" t="s">
        <v>30</v>
      </c>
      <c r="C15" s="1" t="s">
        <v>9</v>
      </c>
      <c r="D15" s="25">
        <v>45474</v>
      </c>
      <c r="E15" s="25"/>
      <c r="F15" s="24" t="s">
        <v>20</v>
      </c>
      <c r="G15" s="24"/>
      <c r="H15" s="24"/>
    </row>
    <row r="16" spans="2:9" ht="15.6">
      <c r="B16" s="3" t="s">
        <v>5</v>
      </c>
      <c r="C16" s="3" t="s">
        <v>10</v>
      </c>
      <c r="D16" s="26" t="s">
        <v>6</v>
      </c>
      <c r="E16" s="26"/>
      <c r="F16" s="26"/>
      <c r="G16" s="3" t="s">
        <v>7</v>
      </c>
      <c r="H16" s="3" t="s">
        <v>8</v>
      </c>
    </row>
    <row r="17" spans="2:8">
      <c r="B17" s="4">
        <v>1</v>
      </c>
      <c r="C17" s="15">
        <v>1</v>
      </c>
      <c r="D17" s="27" t="s">
        <v>21</v>
      </c>
      <c r="E17" s="28"/>
      <c r="F17" s="28"/>
      <c r="G17" s="5">
        <v>60000</v>
      </c>
      <c r="H17" s="14">
        <f t="shared" ref="H17:H25" si="0">(B17*C17)*G17</f>
        <v>60000</v>
      </c>
    </row>
    <row r="18" spans="2:8">
      <c r="B18" s="4">
        <v>1</v>
      </c>
      <c r="C18" s="15">
        <v>1</v>
      </c>
      <c r="D18" s="27" t="s">
        <v>22</v>
      </c>
      <c r="E18" s="28"/>
      <c r="F18" s="28"/>
      <c r="G18" s="5">
        <v>12000</v>
      </c>
      <c r="H18" s="14">
        <f t="shared" si="0"/>
        <v>12000</v>
      </c>
    </row>
    <row r="19" spans="2:8">
      <c r="B19" s="4">
        <v>20</v>
      </c>
      <c r="C19" s="15">
        <v>1</v>
      </c>
      <c r="D19" s="27" t="s">
        <v>23</v>
      </c>
      <c r="E19" s="28"/>
      <c r="F19" s="28"/>
      <c r="G19" s="5">
        <v>350</v>
      </c>
      <c r="H19" s="14">
        <f t="shared" si="0"/>
        <v>7000</v>
      </c>
    </row>
    <row r="20" spans="2:8">
      <c r="B20" s="4">
        <v>4</v>
      </c>
      <c r="C20" s="15">
        <v>1</v>
      </c>
      <c r="D20" s="18" t="s">
        <v>24</v>
      </c>
      <c r="E20" s="19"/>
      <c r="F20" s="19"/>
      <c r="G20" s="5">
        <v>1000</v>
      </c>
      <c r="H20" s="14">
        <f t="shared" si="0"/>
        <v>4000</v>
      </c>
    </row>
    <row r="21" spans="2:8">
      <c r="B21" s="4">
        <v>1</v>
      </c>
      <c r="C21" s="15">
        <v>1</v>
      </c>
      <c r="D21" s="18" t="s">
        <v>25</v>
      </c>
      <c r="E21" s="19"/>
      <c r="F21" s="19"/>
      <c r="G21" s="5">
        <v>9000</v>
      </c>
      <c r="H21" s="14">
        <f t="shared" si="0"/>
        <v>9000</v>
      </c>
    </row>
    <row r="22" spans="2:8">
      <c r="B22" s="4">
        <v>1</v>
      </c>
      <c r="C22" s="15">
        <v>1</v>
      </c>
      <c r="D22" s="18" t="s">
        <v>26</v>
      </c>
      <c r="E22" s="19"/>
      <c r="F22" s="19"/>
      <c r="G22" s="13">
        <v>4000</v>
      </c>
      <c r="H22" s="14">
        <f t="shared" si="0"/>
        <v>4000</v>
      </c>
    </row>
    <row r="23" spans="2:8">
      <c r="B23" s="4">
        <v>4</v>
      </c>
      <c r="C23" s="15">
        <v>1</v>
      </c>
      <c r="D23" s="18" t="s">
        <v>27</v>
      </c>
      <c r="E23" s="19"/>
      <c r="F23" s="19"/>
      <c r="G23" s="5">
        <v>700</v>
      </c>
      <c r="H23" s="14">
        <f t="shared" si="0"/>
        <v>2800</v>
      </c>
    </row>
    <row r="24" spans="2:8">
      <c r="B24" s="4">
        <v>1</v>
      </c>
      <c r="C24" s="15">
        <v>1</v>
      </c>
      <c r="D24" s="18" t="s">
        <v>28</v>
      </c>
      <c r="E24" s="19"/>
      <c r="F24" s="19"/>
      <c r="G24" s="5">
        <v>1500</v>
      </c>
      <c r="H24" s="14">
        <f t="shared" si="0"/>
        <v>1500</v>
      </c>
    </row>
    <row r="25" spans="2:8">
      <c r="B25" s="4">
        <v>1</v>
      </c>
      <c r="C25" s="15">
        <v>1</v>
      </c>
      <c r="D25" s="18" t="s">
        <v>29</v>
      </c>
      <c r="E25" s="19"/>
      <c r="F25" s="19"/>
      <c r="G25" s="5">
        <v>5000</v>
      </c>
      <c r="H25" s="14">
        <f t="shared" si="0"/>
        <v>5000</v>
      </c>
    </row>
    <row r="26" spans="2:8">
      <c r="B26" s="4"/>
      <c r="C26" s="15"/>
      <c r="D26" s="18"/>
      <c r="E26" s="19"/>
      <c r="F26" s="19"/>
      <c r="G26" s="13"/>
      <c r="H26" s="14"/>
    </row>
    <row r="27" spans="2:8">
      <c r="B27" s="4"/>
      <c r="C27" s="4"/>
      <c r="D27" s="19"/>
      <c r="E27" s="19"/>
      <c r="F27" s="19"/>
      <c r="G27" s="5"/>
      <c r="H27" s="14"/>
    </row>
    <row r="28" spans="2:8">
      <c r="D28" s="17"/>
      <c r="E28" s="17"/>
      <c r="F28" s="17"/>
      <c r="G28" s="6" t="s">
        <v>12</v>
      </c>
      <c r="H28" s="7">
        <f>SUM(H17:H27)</f>
        <v>105300</v>
      </c>
    </row>
    <row r="29" spans="2:8">
      <c r="D29" s="17"/>
      <c r="E29" s="17"/>
      <c r="F29" s="17"/>
      <c r="G29" s="8" t="s">
        <v>13</v>
      </c>
      <c r="H29" s="9">
        <f>0.15*H28</f>
        <v>15795</v>
      </c>
    </row>
    <row r="30" spans="2:8">
      <c r="D30" s="17"/>
      <c r="E30" s="17"/>
      <c r="F30" s="17"/>
      <c r="G30" s="10" t="s">
        <v>11</v>
      </c>
      <c r="H30" s="11">
        <f>H28+H29</f>
        <v>121095</v>
      </c>
    </row>
    <row r="39" spans="2:8" ht="25.2" customHeight="1"/>
    <row r="42" spans="2:8">
      <c r="B42" s="12"/>
      <c r="C42" s="12"/>
      <c r="D42" s="12"/>
      <c r="E42" s="12"/>
      <c r="F42" s="12"/>
      <c r="G42" s="12"/>
      <c r="H42" s="12"/>
    </row>
    <row r="46" spans="2:8" ht="21" customHeight="1"/>
    <row r="48" spans="2:8" ht="1.95" customHeight="1"/>
    <row r="49" ht="7.95" customHeight="1"/>
    <row r="50" ht="16.05" customHeight="1"/>
    <row r="52" ht="6" customHeight="1"/>
    <row r="53" ht="9.75" customHeight="1"/>
  </sheetData>
  <mergeCells count="25">
    <mergeCell ref="D20:F20"/>
    <mergeCell ref="D22:F22"/>
    <mergeCell ref="B1:H1"/>
    <mergeCell ref="B12:C12"/>
    <mergeCell ref="B13:C13"/>
    <mergeCell ref="D13:G13"/>
    <mergeCell ref="D14:E14"/>
    <mergeCell ref="F14:H14"/>
    <mergeCell ref="D12:E12"/>
    <mergeCell ref="G12:H12"/>
    <mergeCell ref="D15:E15"/>
    <mergeCell ref="F15:H15"/>
    <mergeCell ref="D16:F16"/>
    <mergeCell ref="D17:F17"/>
    <mergeCell ref="D18:F18"/>
    <mergeCell ref="D19:F19"/>
    <mergeCell ref="D28:F28"/>
    <mergeCell ref="D29:F29"/>
    <mergeCell ref="D21:F21"/>
    <mergeCell ref="D30:F30"/>
    <mergeCell ref="D25:F25"/>
    <mergeCell ref="D26:F26"/>
    <mergeCell ref="D27:F27"/>
    <mergeCell ref="D23:F23"/>
    <mergeCell ref="D24:F24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2024-06-13T01:48:01Z</cp:lastPrinted>
  <dcterms:created xsi:type="dcterms:W3CDTF">2022-10-19T19:05:00Z</dcterms:created>
  <dcterms:modified xsi:type="dcterms:W3CDTF">2024-06-14T16:54:38Z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