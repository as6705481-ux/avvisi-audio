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868F570F-0039-48A0-A2A5-B56CE68EACB3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2" i="1" l="1"/>
  <c r="H23" i="1" s="1"/>
</calcChain>
</file>

<file path=xl/sharedStrings.xml><?xml version="1.0" encoding="utf-8"?>
<sst xmlns="http://schemas.openxmlformats.org/spreadsheetml/2006/main" count="25" uniqueCount="24">
  <si>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</si>
  <si>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</si>
  <si>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</si>
  <si>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</si>
  <si>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</si>
  <si>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</si>
  <si>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</si>
  <si>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</si>
  <si>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</si>
  <si>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</si>
  <si>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</si>
  <si>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</si>
  <si>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</si>
  <si>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</si>
  <si>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</si>
  <si>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Eufemio Martinez </t>
  </si>
  <si>
    <t>Tegucigalpa</t>
  </si>
  <si>
    <t>RTN</t>
  </si>
  <si>
    <t>2025-020</t>
  </si>
  <si>
    <t xml:space="preserve">Grupo G </t>
  </si>
  <si>
    <t xml:space="preserve">Audio y mic para evento </t>
  </si>
  <si>
    <t xml:space="preserve">Pantalla Led 2 x 2 Metros </t>
  </si>
  <si>
    <t>Tecnico y personal de staff</t>
  </si>
  <si>
    <t xml:space="preserve">Montaje y desmontaje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</si>
</sst>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&quot;L&quot;#,##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4" fontId="3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" fillId="6" borderId="3" xfId="2" applyFill="1" applyBorder="1" applyAlignment="1">
      <alignment horizontal="center" vertical="center"/>
    </xf>
    <xf numFmtId="0" fontId="0" fillId="6" borderId="5" xfId="2" applyFont="1" applyFill="1" applyBorder="1" applyAlignment="1">
      <alignment horizontal="left"/>
    </xf>
    <xf numFmtId="0" fontId="7" fillId="6" borderId="6" xfId="2" applyFill="1" applyBorder="1" applyAlignment="1">
      <alignment horizontal="left"/>
    </xf>
    <xf numFmtId="0" fontId="7" fillId="6" borderId="4" xfId="2" applyFill="1" applyBorder="1" applyAlignment="1">
      <alignment horizontal="left"/>
    </xf>
    <xf numFmtId="0" fontId="5" fillId="6" borderId="3" xfId="1" applyFont="1" applyFill="1" applyBorder="1" applyAlignment="1">
      <alignment horizontal="center"/>
    </xf>
    <xf numFmtId="165" fontId="7" fillId="6" borderId="3" xfId="2" applyNumberFormat="1" applyFill="1" applyBorder="1" applyAlignment="1"/>
    <xf numFmtId="165" fontId="7" fillId="6" borderId="8" xfId="2" applyNumberFormat="1" applyFill="1" applyBorder="1" applyAlignment="1">
      <alignment horizontal="center" vertical="center"/>
    </xf>
    <xf numFmtId="165" fontId="7" fillId="6" borderId="9" xfId="2" applyNumberFormat="1" applyFill="1" applyBorder="1" applyAlignment="1">
      <alignment horizontal="center" vertical="center"/>
    </xf>
    <xf numFmtId="165" fontId="7" fillId="6" borderId="10" xfId="2" applyNumberFormat="1" applyFill="1" applyBorder="1" applyAlignment="1">
      <alignment horizontal="center" vertic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26</xdr:row>
      <xdr:rowOff>83925</xdr:rowOff>
    </xdr:from>
    <xdr:to>
      <xdr:col>1</xdr:col>
      <xdr:colOff>113617</xdr:colOff>
      <xdr:row>28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4912299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493434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20</xdr:row>
      <xdr:rowOff>163794</xdr:rowOff>
    </xdr:from>
    <xdr:to>
      <xdr:col>6</xdr:col>
      <xdr:colOff>783365</xdr:colOff>
      <xdr:row>31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593364"/>
          <a:ext cx="5647346" cy="2533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29</xdr:row>
      <xdr:rowOff>601411</xdr:rowOff>
    </xdr:from>
    <xdr:to>
      <xdr:col>4</xdr:col>
      <xdr:colOff>168596</xdr:colOff>
      <xdr:row>31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29</xdr:row>
      <xdr:rowOff>612567</xdr:rowOff>
    </xdr:from>
    <xdr:to>
      <xdr:col>7</xdr:col>
      <xdr:colOff>991200</xdr:colOff>
      <xdr:row>33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26</xdr:row>
      <xdr:rowOff>149553</xdr:rowOff>
    </xdr:from>
    <xdr:to>
      <xdr:col>4</xdr:col>
      <xdr:colOff>628779</xdr:colOff>
      <xdr:row>33</xdr:row>
      <xdr:rowOff>56972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9"/>
  <sheetViews>
    <sheetView tabSelected="1" view="pageLayout" topLeftCell="A3" zoomScale="107" zoomScaleNormal="100" zoomScaleSheetLayoutView="112" zoomScalePageLayoutView="107" workbookViewId="0">
      <selection activeCell="H22" sqref="H22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9.33203125" customWidth="1"/>
    <col min="8" max="8" width="15.44140625" customWidth="1"/>
    <col min="9" max="9" width="9.21875" customWidth="1"/>
  </cols>
  <sheetData>
    <row r="1" spans="2:9">
      <c r="B1" s="14"/>
      <c r="C1" s="14"/>
      <c r="D1" s="14"/>
      <c r="E1" s="14"/>
      <c r="F1" s="14"/>
      <c r="G1" s="14"/>
      <c r="H1" s="14"/>
    </row>
    <row r="6" spans="2:9">
      <c r="H6" s="6" t="s">
        <v>11</v>
      </c>
      <c r="I6" s="1"/>
    </row>
    <row r="7" spans="2:9">
      <c r="H7" s="20" t="s">
        <v>18</v>
      </c>
    </row>
    <row r="12" spans="2:9" ht="12.6" customHeight="1">
      <c r="B12" s="15" t="s">
        <v>13</v>
      </c>
      <c r="C12" s="15"/>
      <c r="D12" s="19" t="s">
        <v>19</v>
      </c>
      <c r="E12" s="16"/>
      <c r="F12" t="s">
        <v>10</v>
      </c>
      <c r="G12" s="13" t="s">
        <v>15</v>
      </c>
      <c r="H12" s="13"/>
    </row>
    <row r="13" spans="2:9" ht="14.4" customHeight="1">
      <c r="B13" s="15" t="s">
        <v>0</v>
      </c>
      <c r="C13" s="15"/>
      <c r="D13" s="19" t="s">
        <v>16</v>
      </c>
      <c r="E13" s="16"/>
      <c r="F13" s="16"/>
      <c r="G13" s="16"/>
    </row>
    <row r="14" spans="2:9">
      <c r="B14" s="1" t="s">
        <v>1</v>
      </c>
      <c r="C14" s="1" t="s">
        <v>2</v>
      </c>
      <c r="D14" s="17" t="s">
        <v>3</v>
      </c>
      <c r="E14" s="17"/>
      <c r="F14" s="17" t="s">
        <v>17</v>
      </c>
      <c r="G14" s="17"/>
      <c r="H14" s="1" t="s">
        <v>12</v>
      </c>
    </row>
    <row r="15" spans="2:9">
      <c r="B15" s="2">
        <v>45675</v>
      </c>
      <c r="C15" s="1"/>
      <c r="D15" s="10">
        <v>45677</v>
      </c>
      <c r="E15" s="11"/>
      <c r="F15" s="21"/>
      <c r="G15" s="22"/>
      <c r="H15" s="5"/>
    </row>
    <row r="16" spans="2:9" ht="15.6">
      <c r="B16" s="3" t="s">
        <v>4</v>
      </c>
      <c r="C16" s="3" t="s">
        <v>8</v>
      </c>
      <c r="D16" s="12" t="s">
        <v>5</v>
      </c>
      <c r="E16" s="12"/>
      <c r="F16" s="12"/>
      <c r="G16" s="3" t="s">
        <v>6</v>
      </c>
      <c r="H16" s="3" t="s">
        <v>7</v>
      </c>
    </row>
    <row r="17" spans="2:8" ht="15.6">
      <c r="B17" s="23">
        <v>1</v>
      </c>
      <c r="C17" s="23">
        <v>1</v>
      </c>
      <c r="D17" s="24" t="s">
        <v>20</v>
      </c>
      <c r="E17" s="25"/>
      <c r="F17" s="26"/>
      <c r="G17" s="27"/>
      <c r="H17" s="29">
        <v>7500</v>
      </c>
    </row>
    <row r="18" spans="2:8" ht="15.6">
      <c r="B18" s="23">
        <v>1</v>
      </c>
      <c r="C18" s="23">
        <v>1</v>
      </c>
      <c r="D18" s="24" t="s">
        <v>21</v>
      </c>
      <c r="E18" s="25"/>
      <c r="F18" s="26"/>
      <c r="G18" s="27"/>
      <c r="H18" s="30"/>
    </row>
    <row r="19" spans="2:8">
      <c r="B19" s="23">
        <v>1</v>
      </c>
      <c r="C19" s="23">
        <v>1</v>
      </c>
      <c r="D19" s="24" t="s">
        <v>22</v>
      </c>
      <c r="E19" s="25"/>
      <c r="F19" s="26"/>
      <c r="G19" s="28"/>
      <c r="H19" s="30"/>
    </row>
    <row r="20" spans="2:8">
      <c r="B20" s="23">
        <v>1</v>
      </c>
      <c r="C20" s="23">
        <v>1</v>
      </c>
      <c r="D20" s="24" t="s">
        <v>23</v>
      </c>
      <c r="E20" s="25"/>
      <c r="F20" s="26"/>
      <c r="G20" s="28"/>
      <c r="H20" s="31"/>
    </row>
    <row r="21" spans="2:8">
      <c r="D21" s="18"/>
      <c r="E21" s="18"/>
      <c r="F21" s="18"/>
      <c r="G21" s="7" t="s">
        <v>9</v>
      </c>
      <c r="H21" s="8">
        <f>SUM(H17)</f>
        <v>7500</v>
      </c>
    </row>
    <row r="22" spans="2:8">
      <c r="G22" s="7" t="s">
        <v>14</v>
      </c>
      <c r="H22" s="9">
        <f>H21*0.15</f>
        <v>1125</v>
      </c>
    </row>
    <row r="23" spans="2:8">
      <c r="G23" s="7" t="s">
        <v>9</v>
      </c>
      <c r="H23" s="9">
        <f>H22+H21</f>
        <v>8625</v>
      </c>
    </row>
    <row r="30" spans="2:8" ht="62.4" customHeight="1"/>
    <row r="32" spans="2:8" ht="27.6" customHeight="1"/>
    <row r="33" spans="2:8" ht="5.4" customHeight="1">
      <c r="B33" s="4"/>
      <c r="C33" s="4"/>
      <c r="D33" s="4"/>
      <c r="E33" s="4"/>
      <c r="F33" s="4"/>
      <c r="G33" s="4"/>
      <c r="H33" s="4"/>
    </row>
    <row r="35" spans="2:8" ht="25.2" customHeight="1"/>
    <row r="42" spans="2:8" ht="21" customHeight="1"/>
    <row r="44" spans="2:8" ht="1.95" customHeight="1"/>
    <row r="45" spans="2:8" ht="7.95" customHeight="1"/>
    <row r="46" spans="2:8" ht="16.05" customHeight="1"/>
    <row r="48" spans="2:8" ht="6" customHeight="1"/>
    <row r="49" ht="9.75" customHeight="1"/>
  </sheetData>
  <mergeCells count="17">
    <mergeCell ref="H17:H20"/>
    <mergeCell ref="D21:F21"/>
    <mergeCell ref="B1:H1"/>
    <mergeCell ref="B12:C12"/>
    <mergeCell ref="B13:C13"/>
    <mergeCell ref="D13:G13"/>
    <mergeCell ref="D14:E14"/>
    <mergeCell ref="D12:E12"/>
    <mergeCell ref="G12:H12"/>
    <mergeCell ref="F14:G14"/>
    <mergeCell ref="D20:F20"/>
    <mergeCell ref="D15:E15"/>
    <mergeCell ref="D16:F16"/>
    <mergeCell ref="D19:F19"/>
    <mergeCell ref="F15:G15"/>
    <mergeCell ref="D18:F18"/>
    <mergeCell ref="D17:F17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2025-01-18T23:46:40Z</cp:lastPrinted>
  <dcterms:created xsi:type="dcterms:W3CDTF">2022-10-19T19:05:00Z</dcterms:created>
  <dcterms:modified xsi:type="dcterms:W3CDTF">2025-01-20T16:19:43Z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