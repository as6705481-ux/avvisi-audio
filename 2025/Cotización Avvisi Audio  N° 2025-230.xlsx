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754C7F3E-9D5C-410F-8402-DC1EE1EF2E03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H35" i="1"/>
  <c r="H34" i="1"/>
  <c r="H33" i="1"/>
  <c r="H32" i="1"/>
  <c r="H31" i="1"/>
  <c r="H30" i="1"/>
  <c r="H29" i="1"/>
  <c r="H25" i="1"/>
  <c r="H26" i="1"/>
  <c r="H27" i="1"/>
  <c r="H28" i="1"/>
  <c r="H24" i="1"/>
  <c r="H37" i="1"/>
  <c r="H19" i="1"/>
  <c r="H22" i="1"/>
  <c r="H17" i="1"/>
  <c r="H16" i="1"/>
  <c r="H18" i="1"/>
  <c r="H20" i="1"/>
  <c r="H21" i="1"/>
  <c r="H23" i="1"/>
  <c r="H38" i="1" l="1"/>
  <c r="H39" i="1" s="1"/>
  <c r="H40" i="1" l="1"/>
</calcChain>
</file>

<file path=xl/sharedStrings.xml><?xml version="1.0" encoding="utf-8"?>
<sst xmlns="http://schemas.openxmlformats.org/spreadsheetml/2006/main" count="44" uniqueCount="43">
  <si>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</si>
  <si>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</si>
  <si>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</si>
  <si>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</si>
  <si>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</si>
  <si>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</si>
  <si>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</si>
  <si>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</si>
  <si>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</si>
  <si>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</si>
  <si>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</si>
  <si>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</si>
  <si>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</si>
  <si>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</si>
  <si>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>ISV</t>
  </si>
  <si>
    <t>SubTotal</t>
  </si>
  <si>
    <t xml:space="preserve">No definido </t>
  </si>
  <si>
    <t>Tegucigalpa</t>
  </si>
  <si>
    <t>2025-230</t>
  </si>
  <si>
    <t>Secia Euceda</t>
  </si>
  <si>
    <t>Blanco eventos Honduras</t>
  </si>
  <si>
    <t>Pantalla Led P3.91 6x5</t>
  </si>
  <si>
    <t>Pantalla Led P3.91 4x5</t>
  </si>
  <si>
    <t>Pantalla Led P3.91 4x5 para publico</t>
  </si>
  <si>
    <t>Procesadores VX1000</t>
  </si>
  <si>
    <t xml:space="preserve">Consola de audio digital </t>
  </si>
  <si>
    <t>Consola digital GRANMA2 4 universos</t>
  </si>
  <si>
    <t>Followspot Lycian 1500</t>
  </si>
  <si>
    <t>Luces roboticas BEAM7R230</t>
  </si>
  <si>
    <t>Luces roboticas WASH</t>
  </si>
  <si>
    <t>Barras led</t>
  </si>
  <si>
    <t>Pirotecnia fría</t>
  </si>
  <si>
    <t>Maquinas de Humo</t>
  </si>
  <si>
    <t>Micrifonia para banda</t>
  </si>
  <si>
    <t>Backline</t>
  </si>
  <si>
    <t>Sistema de monitores inAER</t>
  </si>
  <si>
    <t>Monitores de piso</t>
  </si>
  <si>
    <t>PA</t>
  </si>
  <si>
    <t>Personal de STAFF</t>
  </si>
  <si>
    <t>Tecnico de video</t>
  </si>
  <si>
    <t>Sonidista</t>
  </si>
  <si>
    <t>Tecnico de monitoreo</t>
  </si>
  <si>
    <t>Tecnico de luces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</si>
</sst>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L&quot;* #,##0.00_-;\-&quot;L&quot;* #,##0.00_-;_-&quot;L&quot;* &quot;-&quot;??_-;_-@_-"/>
    <numFmt numFmtId="164" formatCode="_-[$L-480A]* #,##0.00_-;\-[$L-480A]* #,##0.00_-;_-[$L-480A]* &quot;-&quot;??_-;_-@_-"/>
    <numFmt numFmtId="165" formatCode="_-&quot;L&quot;* #,##0.000_-;\-&quot;L&quot;* #,##0.000_-;_-&quot;L&quot;* &quot;-&quot;??_-;_-@_-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9" fillId="4" borderId="0" applyNumberFormat="0" applyBorder="0" applyAlignment="0" applyProtection="0"/>
    <xf numFmtId="0" fontId="10" fillId="3" borderId="0" applyNumberFormat="0" applyBorder="0" applyAlignment="0" applyProtection="0"/>
    <xf numFmtId="44" fontId="10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0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12" fillId="2" borderId="3" xfId="2" applyFont="1" applyFill="1" applyBorder="1" applyAlignment="1">
      <alignment horizontal="center"/>
    </xf>
    <xf numFmtId="164" fontId="12" fillId="2" borderId="3" xfId="2" applyNumberFormat="1" applyFont="1" applyFill="1" applyBorder="1"/>
    <xf numFmtId="164" fontId="13" fillId="2" borderId="3" xfId="0" applyNumberFormat="1" applyFont="1" applyFill="1" applyBorder="1"/>
    <xf numFmtId="0" fontId="8" fillId="2" borderId="8" xfId="1" applyFont="1" applyFill="1" applyBorder="1" applyAlignment="1">
      <alignment horizontal="center"/>
    </xf>
    <xf numFmtId="0" fontId="10" fillId="3" borderId="3" xfId="2" applyBorder="1" applyAlignment="1">
      <alignment horizontal="center" vertical="center"/>
    </xf>
    <xf numFmtId="44" fontId="10" fillId="3" borderId="3" xfId="2" applyNumberFormat="1" applyBorder="1" applyAlignment="1"/>
    <xf numFmtId="44" fontId="10" fillId="3" borderId="3" xfId="3" applyFill="1" applyBorder="1" applyAlignment="1"/>
    <xf numFmtId="0" fontId="5" fillId="0" borderId="1" xfId="0" applyFont="1" applyBorder="1" applyAlignment="1">
      <alignment horizontal="center"/>
    </xf>
    <xf numFmtId="0" fontId="14" fillId="2" borderId="8" xfId="1" applyFont="1" applyFill="1" applyBorder="1" applyAlignment="1">
      <alignment horizontal="center"/>
    </xf>
    <xf numFmtId="0" fontId="10" fillId="3" borderId="6" xfId="2" applyBorder="1" applyAlignment="1">
      <alignment horizontal="left"/>
    </xf>
    <xf numFmtId="0" fontId="10" fillId="3" borderId="4" xfId="2" applyBorder="1" applyAlignment="1">
      <alignment horizontal="left"/>
    </xf>
    <xf numFmtId="0" fontId="4" fillId="3" borderId="6" xfId="2" applyFont="1" applyBorder="1" applyAlignment="1">
      <alignment horizontal="left" wrapText="1"/>
    </xf>
    <xf numFmtId="0" fontId="4" fillId="3" borderId="4" xfId="2" applyFont="1" applyBorder="1" applyAlignment="1">
      <alignment horizontal="left" wrapText="1"/>
    </xf>
    <xf numFmtId="0" fontId="10" fillId="3" borderId="6" xfId="2" applyBorder="1" applyAlignment="1">
      <alignment horizontal="left"/>
    </xf>
    <xf numFmtId="0" fontId="10" fillId="3" borderId="4" xfId="2" applyBorder="1" applyAlignment="1">
      <alignment horizontal="left"/>
    </xf>
    <xf numFmtId="0" fontId="0" fillId="0" borderId="2" xfId="0" applyBorder="1"/>
    <xf numFmtId="0" fontId="3" fillId="3" borderId="6" xfId="2" applyFont="1" applyBorder="1" applyAlignment="1">
      <alignment horizontal="left"/>
    </xf>
    <xf numFmtId="0" fontId="3" fillId="3" borderId="4" xfId="2" applyFont="1" applyBorder="1" applyAlignment="1">
      <alignment horizontal="left"/>
    </xf>
    <xf numFmtId="14" fontId="3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8" fillId="2" borderId="8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1" fillId="3" borderId="5" xfId="2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3" borderId="5" xfId="2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44" fontId="0" fillId="3" borderId="3" xfId="2" applyNumberFormat="1" applyFont="1" applyBorder="1" applyAlignment="1"/>
    <xf numFmtId="165" fontId="10" fillId="3" borderId="3" xfId="3" applyNumberFormat="1" applyFill="1" applyBorder="1" applyAlignment="1"/>
    <xf numFmtId="0" fontId="1" fillId="0" borderId="7" xfId="0" applyFont="1" applyBorder="1" applyAlignment="1">
      <alignment horizontal="center"/>
    </xf>
    <xf numFmtId="0" fontId="1" fillId="3" borderId="5" xfId="2" applyFont="1" applyBorder="1" applyAlignment="1">
      <alignment horizontal="left"/>
    </xf>
    <xf numFmtId="0" fontId="1" fillId="3" borderId="6" xfId="2" applyFont="1" applyBorder="1" applyAlignment="1">
      <alignment horizontal="left"/>
    </xf>
    <xf numFmtId="0" fontId="1" fillId="3" borderId="4" xfId="2" applyFont="1" applyBorder="1" applyAlignment="1">
      <alignment horizontal="left"/>
    </xf>
    <xf numFmtId="0" fontId="1" fillId="3" borderId="6" xfId="2" applyFont="1" applyBorder="1" applyAlignment="1">
      <alignment horizontal="left"/>
    </xf>
    <xf numFmtId="0" fontId="1" fillId="3" borderId="4" xfId="2" applyFont="1" applyBorder="1" applyAlignment="1">
      <alignment horizontal="left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43</xdr:row>
      <xdr:rowOff>83925</xdr:rowOff>
    </xdr:from>
    <xdr:to>
      <xdr:col>1</xdr:col>
      <xdr:colOff>113617</xdr:colOff>
      <xdr:row>45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7829431"/>
          <a:ext cx="50716" cy="32446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61934</xdr:rowOff>
    </xdr:from>
    <xdr:to>
      <xdr:col>8</xdr:col>
      <xdr:colOff>8885</xdr:colOff>
      <xdr:row>7</xdr:row>
      <xdr:rowOff>100705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61934"/>
          <a:ext cx="7288226" cy="1293830"/>
          <a:chOff x="-88431" y="32787"/>
          <a:chExt cx="6647716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8431" y="32787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493717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55119" y="0"/>
          <a:ext cx="4966616" cy="67319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581114</xdr:colOff>
      <xdr:row>2</xdr:row>
      <xdr:rowOff>99790</xdr:rowOff>
    </xdr:from>
    <xdr:to>
      <xdr:col>7</xdr:col>
      <xdr:colOff>9614</xdr:colOff>
      <xdr:row>6</xdr:row>
      <xdr:rowOff>60681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42516" y="470108"/>
          <a:ext cx="4677042" cy="701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5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7</xdr:row>
      <xdr:rowOff>53915</xdr:rowOff>
    </xdr:from>
    <xdr:to>
      <xdr:col>7</xdr:col>
      <xdr:colOff>940037</xdr:colOff>
      <xdr:row>9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7400</xdr:colOff>
      <xdr:row>37</xdr:row>
      <xdr:rowOff>163794</xdr:rowOff>
    </xdr:from>
    <xdr:to>
      <xdr:col>7</xdr:col>
      <xdr:colOff>847459</xdr:colOff>
      <xdr:row>48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6951" y="4963682"/>
          <a:ext cx="6900452" cy="3389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135214</xdr:colOff>
      <xdr:row>46</xdr:row>
      <xdr:rowOff>1228103</xdr:rowOff>
    </xdr:from>
    <xdr:to>
      <xdr:col>4</xdr:col>
      <xdr:colOff>182839</xdr:colOff>
      <xdr:row>52</xdr:row>
      <xdr:rowOff>21365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84765" y="11397598"/>
          <a:ext cx="2397719" cy="1513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Martinez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888650</xdr:colOff>
      <xdr:row>46</xdr:row>
      <xdr:rowOff>1253501</xdr:rowOff>
    </xdr:from>
    <xdr:to>
      <xdr:col>8</xdr:col>
      <xdr:colOff>52800</xdr:colOff>
      <xdr:row>53</xdr:row>
      <xdr:rowOff>98098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88295" y="11422996"/>
          <a:ext cx="3778879" cy="1750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66"/>
  <sheetViews>
    <sheetView tabSelected="1" view="pageLayout" topLeftCell="A12" zoomScale="85" zoomScaleNormal="62" zoomScaleSheetLayoutView="112" zoomScalePageLayoutView="85" workbookViewId="0">
      <selection activeCell="G37" sqref="G3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7.21875" customWidth="1"/>
    <col min="6" max="6" width="16.6640625" customWidth="1"/>
    <col min="7" max="7" width="12" customWidth="1"/>
    <col min="8" max="8" width="21.109375" customWidth="1"/>
    <col min="9" max="9" width="9.21875" customWidth="1"/>
  </cols>
  <sheetData>
    <row r="5" spans="2:9">
      <c r="H5" s="5" t="s">
        <v>10</v>
      </c>
      <c r="I5" s="1"/>
    </row>
    <row r="6" spans="2:9">
      <c r="H6" s="42" t="s">
        <v>18</v>
      </c>
    </row>
    <row r="11" spans="2:9" ht="12.6" customHeight="1">
      <c r="B11" s="29" t="s">
        <v>12</v>
      </c>
      <c r="C11" s="29"/>
      <c r="D11" s="37" t="s">
        <v>20</v>
      </c>
      <c r="E11" s="32"/>
      <c r="F11" t="s">
        <v>9</v>
      </c>
      <c r="G11" s="39" t="s">
        <v>19</v>
      </c>
      <c r="H11" s="28"/>
    </row>
    <row r="12" spans="2:9" ht="14.4" customHeight="1">
      <c r="B12" s="30" t="s">
        <v>0</v>
      </c>
      <c r="C12" s="30"/>
      <c r="D12" s="34" t="s">
        <v>17</v>
      </c>
      <c r="E12" s="35"/>
      <c r="F12" s="1" t="s">
        <v>13</v>
      </c>
      <c r="G12" s="33">
        <v>8011987034108</v>
      </c>
      <c r="H12" s="33"/>
    </row>
    <row r="13" spans="2:9">
      <c r="B13" s="1" t="s">
        <v>1</v>
      </c>
      <c r="C13" s="1" t="s">
        <v>2</v>
      </c>
      <c r="D13" s="31" t="s">
        <v>3</v>
      </c>
      <c r="E13" s="31"/>
      <c r="F13" s="29" t="s">
        <v>8</v>
      </c>
      <c r="G13" s="29"/>
      <c r="H13" s="1" t="s">
        <v>11</v>
      </c>
    </row>
    <row r="14" spans="2:9">
      <c r="B14" s="2">
        <v>45894</v>
      </c>
      <c r="C14" s="1"/>
      <c r="D14" s="24">
        <v>45898</v>
      </c>
      <c r="E14" s="25"/>
      <c r="F14" s="27"/>
      <c r="G14" s="28"/>
      <c r="H14" s="13" t="s">
        <v>16</v>
      </c>
    </row>
    <row r="15" spans="2:9" ht="15.6">
      <c r="B15" s="9" t="s">
        <v>4</v>
      </c>
      <c r="C15" s="14" t="s">
        <v>7</v>
      </c>
      <c r="D15" s="26"/>
      <c r="E15" s="26"/>
      <c r="F15" s="26"/>
      <c r="G15" s="9" t="s">
        <v>5</v>
      </c>
      <c r="H15" s="9" t="s">
        <v>6</v>
      </c>
    </row>
    <row r="16" spans="2:9">
      <c r="B16" s="3">
        <v>1</v>
      </c>
      <c r="C16" s="3">
        <v>1</v>
      </c>
      <c r="D16" s="38" t="s">
        <v>21</v>
      </c>
      <c r="E16" s="17"/>
      <c r="F16" s="18"/>
      <c r="G16" s="12">
        <v>60000</v>
      </c>
      <c r="H16" s="12">
        <f t="shared" ref="H16:H36" si="0">G16*B16*C16</f>
        <v>60000</v>
      </c>
    </row>
    <row r="17" spans="2:8" ht="16.8" customHeight="1">
      <c r="B17" s="3">
        <v>2</v>
      </c>
      <c r="C17" s="3">
        <v>1</v>
      </c>
      <c r="D17" s="38" t="s">
        <v>22</v>
      </c>
      <c r="E17" s="17"/>
      <c r="F17" s="18"/>
      <c r="G17" s="12">
        <v>40000</v>
      </c>
      <c r="H17" s="12">
        <f>G17*B17</f>
        <v>80000</v>
      </c>
    </row>
    <row r="18" spans="2:8">
      <c r="B18" s="3">
        <v>2</v>
      </c>
      <c r="C18" s="10">
        <v>1</v>
      </c>
      <c r="D18" s="38" t="s">
        <v>23</v>
      </c>
      <c r="E18" s="17"/>
      <c r="F18" s="18"/>
      <c r="G18" s="12">
        <v>40000</v>
      </c>
      <c r="H18" s="12">
        <f t="shared" si="0"/>
        <v>80000</v>
      </c>
    </row>
    <row r="19" spans="2:8">
      <c r="B19" s="3">
        <v>2</v>
      </c>
      <c r="C19" s="10">
        <v>1</v>
      </c>
      <c r="D19" s="36" t="s">
        <v>24</v>
      </c>
      <c r="E19" s="44"/>
      <c r="F19" s="45"/>
      <c r="G19" s="12">
        <v>2500</v>
      </c>
      <c r="H19" s="12">
        <f t="shared" si="0"/>
        <v>5000</v>
      </c>
    </row>
    <row r="20" spans="2:8">
      <c r="B20" s="3">
        <v>1</v>
      </c>
      <c r="C20" s="10">
        <v>1</v>
      </c>
      <c r="D20" s="36" t="s">
        <v>25</v>
      </c>
      <c r="E20" s="22"/>
      <c r="F20" s="23"/>
      <c r="G20" s="11">
        <v>7000</v>
      </c>
      <c r="H20" s="12">
        <f t="shared" si="0"/>
        <v>7000</v>
      </c>
    </row>
    <row r="21" spans="2:8">
      <c r="B21" s="3">
        <v>1</v>
      </c>
      <c r="C21" s="10">
        <v>1</v>
      </c>
      <c r="D21" s="36" t="s">
        <v>26</v>
      </c>
      <c r="E21" s="19"/>
      <c r="F21" s="20"/>
      <c r="G21" s="11">
        <v>7000</v>
      </c>
      <c r="H21" s="12">
        <f t="shared" si="0"/>
        <v>7000</v>
      </c>
    </row>
    <row r="22" spans="2:8">
      <c r="B22" s="3">
        <v>1</v>
      </c>
      <c r="C22" s="3">
        <v>1</v>
      </c>
      <c r="D22" s="36" t="s">
        <v>27</v>
      </c>
      <c r="E22" s="19"/>
      <c r="F22" s="20"/>
      <c r="G22" s="40">
        <v>4500</v>
      </c>
      <c r="H22" s="41">
        <f t="shared" si="0"/>
        <v>4500</v>
      </c>
    </row>
    <row r="23" spans="2:8">
      <c r="B23" s="3">
        <v>20</v>
      </c>
      <c r="C23" s="3">
        <v>1</v>
      </c>
      <c r="D23" s="36" t="s">
        <v>28</v>
      </c>
      <c r="E23" s="19"/>
      <c r="F23" s="20"/>
      <c r="G23" s="11">
        <v>1000</v>
      </c>
      <c r="H23" s="12">
        <f t="shared" si="0"/>
        <v>20000</v>
      </c>
    </row>
    <row r="24" spans="2:8">
      <c r="B24" s="3">
        <v>10</v>
      </c>
      <c r="C24" s="3">
        <v>1</v>
      </c>
      <c r="D24" s="36" t="s">
        <v>29</v>
      </c>
      <c r="E24" s="19"/>
      <c r="F24" s="20"/>
      <c r="G24" s="11">
        <v>1000</v>
      </c>
      <c r="H24" s="12">
        <f t="shared" si="0"/>
        <v>10000</v>
      </c>
    </row>
    <row r="25" spans="2:8">
      <c r="B25" s="3">
        <v>8</v>
      </c>
      <c r="C25" s="3">
        <v>1</v>
      </c>
      <c r="D25" s="43" t="s">
        <v>30</v>
      </c>
      <c r="E25" s="15"/>
      <c r="F25" s="16"/>
      <c r="G25" s="11">
        <v>800</v>
      </c>
      <c r="H25" s="12">
        <f t="shared" si="0"/>
        <v>6400</v>
      </c>
    </row>
    <row r="26" spans="2:8">
      <c r="B26" s="3">
        <v>6</v>
      </c>
      <c r="C26" s="3">
        <v>1</v>
      </c>
      <c r="D26" s="36" t="s">
        <v>31</v>
      </c>
      <c r="E26" s="44"/>
      <c r="F26" s="45"/>
      <c r="G26" s="11">
        <v>2000</v>
      </c>
      <c r="H26" s="12">
        <f t="shared" si="0"/>
        <v>12000</v>
      </c>
    </row>
    <row r="27" spans="2:8">
      <c r="B27" s="3">
        <v>3</v>
      </c>
      <c r="C27" s="3">
        <v>1</v>
      </c>
      <c r="D27" s="36" t="s">
        <v>32</v>
      </c>
      <c r="E27" s="44"/>
      <c r="F27" s="45"/>
      <c r="G27" s="11">
        <v>1500</v>
      </c>
      <c r="H27" s="12">
        <f t="shared" si="0"/>
        <v>4500</v>
      </c>
    </row>
    <row r="28" spans="2:8">
      <c r="B28" s="3">
        <v>1</v>
      </c>
      <c r="C28" s="3">
        <v>1</v>
      </c>
      <c r="D28" s="36" t="s">
        <v>33</v>
      </c>
      <c r="E28" s="44"/>
      <c r="F28" s="45"/>
      <c r="G28" s="11">
        <v>25000</v>
      </c>
      <c r="H28" s="12">
        <f t="shared" si="0"/>
        <v>25000</v>
      </c>
    </row>
    <row r="29" spans="2:8">
      <c r="B29" s="3">
        <v>1</v>
      </c>
      <c r="C29" s="3">
        <v>1</v>
      </c>
      <c r="D29" s="36" t="s">
        <v>34</v>
      </c>
      <c r="E29" s="44"/>
      <c r="F29" s="45"/>
      <c r="G29" s="11">
        <v>68000</v>
      </c>
      <c r="H29" s="12">
        <f t="shared" si="0"/>
        <v>68000</v>
      </c>
    </row>
    <row r="30" spans="2:8">
      <c r="B30" s="3">
        <v>1</v>
      </c>
      <c r="C30" s="3">
        <v>1</v>
      </c>
      <c r="D30" s="43" t="s">
        <v>37</v>
      </c>
      <c r="E30" s="46"/>
      <c r="F30" s="47"/>
      <c r="G30" s="11">
        <v>52000</v>
      </c>
      <c r="H30" s="12">
        <f t="shared" si="0"/>
        <v>52000</v>
      </c>
    </row>
    <row r="31" spans="2:8">
      <c r="B31" s="3">
        <v>8</v>
      </c>
      <c r="C31" s="3">
        <v>1</v>
      </c>
      <c r="D31" s="36" t="s">
        <v>35</v>
      </c>
      <c r="E31" s="44"/>
      <c r="F31" s="45"/>
      <c r="G31" s="11">
        <v>2500</v>
      </c>
      <c r="H31" s="12">
        <f t="shared" si="0"/>
        <v>20000</v>
      </c>
    </row>
    <row r="32" spans="2:8">
      <c r="B32" s="3">
        <v>4</v>
      </c>
      <c r="C32" s="3">
        <v>1</v>
      </c>
      <c r="D32" s="36" t="s">
        <v>36</v>
      </c>
      <c r="E32" s="19"/>
      <c r="F32" s="20"/>
      <c r="G32" s="40">
        <v>1500</v>
      </c>
      <c r="H32" s="41">
        <f t="shared" si="0"/>
        <v>6000</v>
      </c>
    </row>
    <row r="33" spans="2:8">
      <c r="B33" s="3">
        <v>1</v>
      </c>
      <c r="C33" s="3">
        <v>1</v>
      </c>
      <c r="D33" s="36" t="s">
        <v>39</v>
      </c>
      <c r="E33" s="44"/>
      <c r="F33" s="45"/>
      <c r="G33" s="40">
        <v>3000</v>
      </c>
      <c r="H33" s="41">
        <f t="shared" si="0"/>
        <v>3000</v>
      </c>
    </row>
    <row r="34" spans="2:8">
      <c r="B34" s="3">
        <v>1</v>
      </c>
      <c r="C34" s="3">
        <v>1</v>
      </c>
      <c r="D34" s="36" t="s">
        <v>40</v>
      </c>
      <c r="E34" s="44"/>
      <c r="F34" s="45"/>
      <c r="G34" s="11">
        <v>7500</v>
      </c>
      <c r="H34" s="12">
        <f t="shared" si="0"/>
        <v>7500</v>
      </c>
    </row>
    <row r="35" spans="2:8">
      <c r="B35" s="3">
        <v>1</v>
      </c>
      <c r="C35" s="3">
        <v>1</v>
      </c>
      <c r="D35" s="36" t="s">
        <v>42</v>
      </c>
      <c r="E35" s="44"/>
      <c r="F35" s="45"/>
      <c r="G35" s="11">
        <v>3000</v>
      </c>
      <c r="H35" s="12">
        <f t="shared" si="0"/>
        <v>3000</v>
      </c>
    </row>
    <row r="36" spans="2:8">
      <c r="B36" s="3">
        <v>1</v>
      </c>
      <c r="C36" s="3">
        <v>1</v>
      </c>
      <c r="D36" s="36" t="s">
        <v>41</v>
      </c>
      <c r="E36" s="44"/>
      <c r="F36" s="45"/>
      <c r="G36" s="11">
        <v>30000</v>
      </c>
      <c r="H36" s="12">
        <f t="shared" si="0"/>
        <v>30000</v>
      </c>
    </row>
    <row r="37" spans="2:8">
      <c r="B37" s="3">
        <v>10</v>
      </c>
      <c r="C37" s="3">
        <v>1</v>
      </c>
      <c r="D37" s="36" t="s">
        <v>38</v>
      </c>
      <c r="E37" s="19"/>
      <c r="F37" s="20"/>
      <c r="G37" s="40">
        <v>1500</v>
      </c>
      <c r="H37" s="41">
        <f t="shared" ref="H37" si="1">G37*B37*C37</f>
        <v>15000</v>
      </c>
    </row>
    <row r="38" spans="2:8">
      <c r="D38" s="21"/>
      <c r="E38" s="21"/>
      <c r="F38" s="21"/>
      <c r="G38" s="6" t="s">
        <v>15</v>
      </c>
      <c r="H38" s="7">
        <f>SUM(H16:H37)</f>
        <v>525900</v>
      </c>
    </row>
    <row r="39" spans="2:8">
      <c r="G39" s="6" t="s">
        <v>14</v>
      </c>
      <c r="H39" s="8">
        <f>H38*0.15</f>
        <v>78885</v>
      </c>
    </row>
    <row r="40" spans="2:8">
      <c r="G40" s="6" t="s">
        <v>6</v>
      </c>
      <c r="H40" s="8">
        <f>H38+H39</f>
        <v>604785</v>
      </c>
    </row>
    <row r="47" spans="2:8" ht="126.6" customHeight="1"/>
    <row r="49" spans="2:8" ht="27.6" customHeight="1"/>
    <row r="50" spans="2:8" ht="5.4" customHeight="1">
      <c r="B50" s="4"/>
      <c r="C50" s="4"/>
      <c r="D50" s="4"/>
      <c r="E50" s="4"/>
      <c r="F50" s="4"/>
      <c r="G50" s="4"/>
      <c r="H50" s="4"/>
    </row>
    <row r="52" spans="2:8" ht="25.2" customHeight="1"/>
    <row r="59" spans="2:8" ht="21" customHeight="1"/>
    <row r="61" spans="2:8" ht="1.95" customHeight="1"/>
    <row r="62" spans="2:8" ht="7.95" customHeight="1"/>
    <row r="63" spans="2:8" ht="16.05" customHeight="1"/>
    <row r="65" ht="6" customHeight="1"/>
    <row r="66" ht="9.75" customHeight="1"/>
  </sheetData>
  <mergeCells count="32">
    <mergeCell ref="D32:F32"/>
    <mergeCell ref="D33:F33"/>
    <mergeCell ref="D34:F34"/>
    <mergeCell ref="D36:F36"/>
    <mergeCell ref="D35:F35"/>
    <mergeCell ref="D27:F27"/>
    <mergeCell ref="D28:F28"/>
    <mergeCell ref="D29:F29"/>
    <mergeCell ref="D31:F31"/>
    <mergeCell ref="D14:E14"/>
    <mergeCell ref="D15:F15"/>
    <mergeCell ref="F14:G14"/>
    <mergeCell ref="B11:C11"/>
    <mergeCell ref="B12:C12"/>
    <mergeCell ref="D13:E13"/>
    <mergeCell ref="D11:E11"/>
    <mergeCell ref="G11:H11"/>
    <mergeCell ref="F13:G13"/>
    <mergeCell ref="G12:H12"/>
    <mergeCell ref="D12:E12"/>
    <mergeCell ref="D16:F16"/>
    <mergeCell ref="D18:F18"/>
    <mergeCell ref="D21:F21"/>
    <mergeCell ref="D38:F38"/>
    <mergeCell ref="D37:F37"/>
    <mergeCell ref="D26:F26"/>
    <mergeCell ref="D22:F22"/>
    <mergeCell ref="D23:F23"/>
    <mergeCell ref="D24:F24"/>
    <mergeCell ref="D20:F20"/>
    <mergeCell ref="D17:F17"/>
    <mergeCell ref="D19:F19"/>
  </mergeCells>
  <phoneticPr fontId="11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2025-08-25T23:31:50Z</cp:lastPrinted>
  <dcterms:created xsi:type="dcterms:W3CDTF">2022-10-19T19:05:00Z</dcterms:created>
  <dcterms:modified xsi:type="dcterms:W3CDTF">2025-08-26T00:49:51Z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