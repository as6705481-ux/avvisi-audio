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F6CD3425-2F8F-4CC7-A01A-88CB9AC1622F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H18" i="1"/>
  <c r="H17" i="1"/>
  <c r="H22" i="1" l="1"/>
  <c r="H23" i="1" s="1"/>
</calcChain>
</file>

<file path=xl/sharedStrings.xml><?xml version="1.0" encoding="utf-8"?>
<sst xmlns="http://schemas.openxmlformats.org/spreadsheetml/2006/main" count="26" uniqueCount="26">
  <si>
    <t xml:space="preserve">Nombre del Cliente </t>
  </si>
  <si>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</si>
  <si>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</si>
  <si>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</si>
  <si>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</si>
  <si>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</si>
  <si>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</si>
  <si>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</si>
  <si>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</si>
  <si>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</si>
  <si>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</si>
  <si>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</si>
  <si>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</si>
  <si>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</si>
  <si>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Eufemio Martinez </t>
  </si>
  <si>
    <t xml:space="preserve">ISV 15% </t>
  </si>
  <si>
    <t xml:space="preserve">Total </t>
  </si>
  <si>
    <t xml:space="preserve">N° Invitados </t>
  </si>
  <si>
    <t xml:space="preserve">Evento de Marca </t>
  </si>
  <si>
    <t>Honduras</t>
  </si>
  <si>
    <t>2024-3051</t>
  </si>
  <si>
    <t>Difiesta</t>
  </si>
  <si>
    <t>parlantes dobles JBL</t>
  </si>
  <si>
    <t>Inversor</t>
  </si>
  <si>
    <t>Tecnico y musica</t>
  </si>
  <si>
    <t>Luces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</si>
</sst>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4">
    <xf numFmtId="0" fontId="0" fillId="0" borderId="0"/>
    <xf numFmtId="0" fontId="6" fillId="4" borderId="5" applyNumberFormat="0" applyAlignment="0" applyProtection="0"/>
    <xf numFmtId="0" fontId="7" fillId="5" borderId="0" applyNumberFormat="0" applyBorder="0" applyAlignment="0" applyProtection="0"/>
    <xf numFmtId="0" fontId="8" fillId="3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5" fillId="2" borderId="3" xfId="2" applyFont="1" applyFill="1" applyBorder="1" applyAlignment="1">
      <alignment horizontal="center"/>
    </xf>
    <xf numFmtId="0" fontId="8" fillId="3" borderId="3" xfId="3" applyBorder="1" applyAlignment="1">
      <alignment horizontal="center"/>
    </xf>
    <xf numFmtId="164" fontId="6" fillId="2" borderId="3" xfId="3" applyNumberFormat="1" applyFont="1" applyFill="1" applyBorder="1"/>
    <xf numFmtId="0" fontId="0" fillId="2" borderId="0" xfId="0" applyFill="1" applyAlignment="1">
      <alignment horizontal="center"/>
    </xf>
    <xf numFmtId="164" fontId="8" fillId="3" borderId="3" xfId="3" applyNumberFormat="1" applyBorder="1" applyAlignment="1">
      <alignment vertical="center"/>
    </xf>
    <xf numFmtId="0" fontId="0" fillId="3" borderId="3" xfId="3" applyFont="1" applyBorder="1" applyAlignment="1">
      <alignment horizontal="center"/>
    </xf>
    <xf numFmtId="0" fontId="6" fillId="2" borderId="3" xfId="3" applyFont="1" applyFill="1" applyBorder="1" applyAlignment="1">
      <alignment horizontal="center"/>
    </xf>
    <xf numFmtId="164" fontId="9" fillId="2" borderId="3" xfId="3" applyNumberFormat="1" applyFont="1" applyFill="1" applyBorder="1"/>
    <xf numFmtId="164" fontId="9" fillId="2" borderId="3" xfId="1" applyNumberFormat="1" applyFont="1" applyFill="1" applyBorder="1"/>
    <xf numFmtId="0" fontId="0" fillId="0" borderId="1" xfId="0" applyBorder="1" applyAlignment="1">
      <alignment horizontal="center"/>
    </xf>
    <xf numFmtId="0" fontId="4" fillId="6" borderId="8" xfId="0" applyFont="1" applyFill="1" applyBorder="1" applyAlignment="1">
      <alignment horizontal="center"/>
    </xf>
    <xf numFmtId="164" fontId="8" fillId="3" borderId="3" xfId="3" applyNumberFormat="1" applyBorder="1" applyAlignment="1"/>
    <xf numFmtId="0" fontId="8" fillId="3" borderId="3" xfId="3" applyBorder="1" applyAlignment="1">
      <alignment horizontal="left"/>
    </xf>
    <xf numFmtId="0" fontId="3" fillId="3" borderId="7" xfId="3" applyFont="1" applyBorder="1" applyAlignment="1">
      <alignment horizontal="left"/>
    </xf>
    <xf numFmtId="0" fontId="3" fillId="3" borderId="4" xfId="3" applyFont="1" applyBorder="1" applyAlignment="1">
      <alignment horizontal="left"/>
    </xf>
    <xf numFmtId="0" fontId="8" fillId="3" borderId="3" xfId="3" applyBorder="1" applyAlignment="1">
      <alignment horizontal="left" vertical="center"/>
    </xf>
    <xf numFmtId="17" fontId="3" fillId="0" borderId="2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5" fillId="2" borderId="3" xfId="2" applyFont="1" applyFill="1" applyBorder="1" applyAlignment="1">
      <alignment horizontal="center"/>
    </xf>
    <xf numFmtId="0" fontId="0" fillId="3" borderId="3" xfId="3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0" xfId="0"/>
    <xf numFmtId="0" fontId="1" fillId="0" borderId="8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3" borderId="3" xfId="3" applyFont="1" applyBorder="1" applyAlignment="1">
      <alignment horizontal="left"/>
    </xf>
    <xf numFmtId="0" fontId="1" fillId="3" borderId="6" xfId="3" applyFont="1" applyBorder="1" applyAlignment="1">
      <alignment horizontal="left"/>
    </xf>
    <xf numFmtId="0" fontId="1" fillId="3" borderId="3" xfId="3" applyFont="1" applyBorder="1" applyAlignment="1">
      <alignment horizontal="left" vertical="center"/>
    </xf>
  </cellXfs>
  <cellStyles count="4">
    <cellStyle name="20% - Énfasis2" xfId="3" builtinId="34"/>
    <cellStyle name="Celda de comprobación" xfId="1" builtinId="23"/>
    <cellStyle name="Énfasis2" xfId="2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28</xdr:row>
      <xdr:rowOff>83925</xdr:rowOff>
    </xdr:from>
    <xdr:to>
      <xdr:col>1</xdr:col>
      <xdr:colOff>113617</xdr:colOff>
      <xdr:row>30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8260" y="5255168"/>
          <a:ext cx="50716" cy="335782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9325"/>
          <a:ext cx="6693251" cy="1333432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116843</xdr:colOff>
      <xdr:row>20</xdr:row>
      <xdr:rowOff>400</xdr:rowOff>
    </xdr:from>
    <xdr:to>
      <xdr:col>8</xdr:col>
      <xdr:colOff>78874</xdr:colOff>
      <xdr:row>30</xdr:row>
      <xdr:rowOff>125370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116843" y="3704074"/>
          <a:ext cx="6811171" cy="19856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83820</xdr:colOff>
      <xdr:row>31</xdr:row>
      <xdr:rowOff>38100</xdr:rowOff>
    </xdr:from>
    <xdr:to>
      <xdr:col>4</xdr:col>
      <xdr:colOff>131445</xdr:colOff>
      <xdr:row>36</xdr:row>
      <xdr:rowOff>26035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426720" y="6979920"/>
          <a:ext cx="2303145" cy="10394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700405</xdr:colOff>
      <xdr:row>31</xdr:row>
      <xdr:rowOff>76200</xdr:rowOff>
    </xdr:from>
    <xdr:to>
      <xdr:col>7</xdr:col>
      <xdr:colOff>852805</xdr:colOff>
      <xdr:row>37</xdr:row>
      <xdr:rowOff>17780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298825" y="7018020"/>
          <a:ext cx="2834640" cy="11760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1"/>
  <sheetViews>
    <sheetView tabSelected="1" view="pageLayout" zoomScale="103" zoomScaleNormal="100" zoomScaleSheetLayoutView="112" zoomScalePageLayoutView="103" workbookViewId="0">
      <selection activeCell="K14" sqref="K14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5"/>
      <c r="C1" s="25"/>
      <c r="D1" s="25"/>
      <c r="E1" s="25"/>
      <c r="F1" s="25"/>
      <c r="G1" s="25"/>
      <c r="H1" s="25"/>
    </row>
    <row r="6" spans="2:9">
      <c r="H6" s="13" t="s">
        <v>13</v>
      </c>
      <c r="I6" s="1"/>
    </row>
    <row r="7" spans="2:9">
      <c r="H7" s="31" t="s">
        <v>20</v>
      </c>
    </row>
    <row r="12" spans="2:9" ht="12.6" customHeight="1">
      <c r="B12" s="26" t="s">
        <v>0</v>
      </c>
      <c r="C12" s="26"/>
      <c r="D12" s="32" t="s">
        <v>21</v>
      </c>
      <c r="E12" s="28"/>
      <c r="F12" t="s">
        <v>12</v>
      </c>
      <c r="G12" s="24" t="s">
        <v>14</v>
      </c>
      <c r="H12" s="24"/>
    </row>
    <row r="13" spans="2:9" ht="14.4" customHeight="1">
      <c r="B13" s="26" t="s">
        <v>1</v>
      </c>
      <c r="C13" s="26"/>
      <c r="D13" s="27" t="s">
        <v>19</v>
      </c>
      <c r="E13" s="28"/>
      <c r="F13" s="28"/>
      <c r="G13" s="28"/>
    </row>
    <row r="14" spans="2:9">
      <c r="B14" s="1" t="s">
        <v>2</v>
      </c>
      <c r="C14" s="1" t="s">
        <v>3</v>
      </c>
      <c r="D14" s="20" t="s">
        <v>4</v>
      </c>
      <c r="E14" s="20"/>
      <c r="F14" s="20" t="s">
        <v>11</v>
      </c>
      <c r="G14" s="20"/>
      <c r="H14" s="1" t="s">
        <v>17</v>
      </c>
    </row>
    <row r="15" spans="2:9">
      <c r="B15" s="2">
        <v>45541</v>
      </c>
      <c r="C15" s="1"/>
      <c r="D15" s="19"/>
      <c r="E15" s="20"/>
      <c r="F15" s="23" t="s">
        <v>18</v>
      </c>
      <c r="G15" s="24"/>
      <c r="H15" s="12"/>
    </row>
    <row r="16" spans="2:9" ht="15.6">
      <c r="B16" s="3" t="s">
        <v>5</v>
      </c>
      <c r="C16" s="3" t="s">
        <v>9</v>
      </c>
      <c r="D16" s="21" t="s">
        <v>6</v>
      </c>
      <c r="E16" s="21"/>
      <c r="F16" s="21"/>
      <c r="G16" s="3" t="s">
        <v>7</v>
      </c>
      <c r="H16" s="3" t="s">
        <v>8</v>
      </c>
    </row>
    <row r="17" spans="2:8">
      <c r="B17" s="4">
        <v>2</v>
      </c>
      <c r="C17" s="4">
        <v>1</v>
      </c>
      <c r="D17" s="22" t="s">
        <v>22</v>
      </c>
      <c r="E17" s="15"/>
      <c r="F17" s="15"/>
      <c r="G17" s="14">
        <v>1500</v>
      </c>
      <c r="H17" s="7">
        <f>G17*B17</f>
        <v>3000</v>
      </c>
    </row>
    <row r="18" spans="2:8">
      <c r="B18" s="4">
        <v>1</v>
      </c>
      <c r="C18" s="8">
        <v>1</v>
      </c>
      <c r="D18" s="33" t="s">
        <v>23</v>
      </c>
      <c r="E18" s="15"/>
      <c r="F18" s="15"/>
      <c r="G18" s="14">
        <v>700</v>
      </c>
      <c r="H18" s="7">
        <f>G18*B18</f>
        <v>700</v>
      </c>
    </row>
    <row r="19" spans="2:8">
      <c r="B19" s="4">
        <v>1</v>
      </c>
      <c r="C19" s="8">
        <v>1</v>
      </c>
      <c r="D19" s="34" t="s">
        <v>24</v>
      </c>
      <c r="E19" s="16"/>
      <c r="F19" s="17"/>
      <c r="G19" s="14">
        <v>1000</v>
      </c>
      <c r="H19" s="7">
        <v>1000</v>
      </c>
    </row>
    <row r="20" spans="2:8">
      <c r="B20" s="4"/>
      <c r="C20" s="8"/>
      <c r="D20" s="35" t="s">
        <v>25</v>
      </c>
      <c r="E20" s="18"/>
      <c r="F20" s="18"/>
      <c r="G20" s="14">
        <v>2500</v>
      </c>
      <c r="H20" s="7">
        <v>2500</v>
      </c>
    </row>
    <row r="21" spans="2:8">
      <c r="D21" s="29"/>
      <c r="E21" s="29"/>
      <c r="F21" s="29"/>
      <c r="G21" s="9" t="s">
        <v>10</v>
      </c>
      <c r="H21" s="5">
        <f>SUM(H17:H20)</f>
        <v>7200</v>
      </c>
    </row>
    <row r="22" spans="2:8">
      <c r="D22" s="30"/>
      <c r="E22" s="30"/>
      <c r="F22" s="30"/>
      <c r="G22" s="9" t="s">
        <v>15</v>
      </c>
      <c r="H22" s="10">
        <f>H21*0.15</f>
        <v>1080</v>
      </c>
    </row>
    <row r="23" spans="2:8">
      <c r="D23" s="30"/>
      <c r="E23" s="30"/>
      <c r="F23" s="30"/>
      <c r="G23" s="9" t="s">
        <v>16</v>
      </c>
      <c r="H23" s="11">
        <f>H21+H22</f>
        <v>8280</v>
      </c>
    </row>
    <row r="34" spans="2:8" ht="27.6" customHeight="1"/>
    <row r="35" spans="2:8" ht="5.4" customHeight="1">
      <c r="B35" s="6"/>
      <c r="C35" s="6"/>
      <c r="D35" s="6"/>
      <c r="E35" s="6"/>
      <c r="F35" s="6"/>
      <c r="G35" s="6"/>
      <c r="H35" s="6"/>
    </row>
    <row r="37" spans="2:8" ht="25.2" customHeight="1"/>
    <row r="44" spans="2:8" ht="21" customHeight="1"/>
    <row r="46" spans="2:8" ht="1.95" customHeight="1"/>
    <row r="47" spans="2:8" ht="7.95" customHeight="1"/>
    <row r="48" spans="2:8" ht="16.05" customHeight="1"/>
    <row r="50" ht="6" customHeight="1"/>
    <row r="51" ht="9.75" customHeight="1"/>
  </sheetData>
  <mergeCells count="18">
    <mergeCell ref="D21:F21"/>
    <mergeCell ref="D22:F22"/>
    <mergeCell ref="D23:F23"/>
    <mergeCell ref="B1:H1"/>
    <mergeCell ref="B12:C12"/>
    <mergeCell ref="B13:C13"/>
    <mergeCell ref="D13:G13"/>
    <mergeCell ref="D14:E14"/>
    <mergeCell ref="D12:E12"/>
    <mergeCell ref="G12:H12"/>
    <mergeCell ref="F14:G14"/>
    <mergeCell ref="D15:E15"/>
    <mergeCell ref="D16:F16"/>
    <mergeCell ref="D17:F17"/>
    <mergeCell ref="F15:G15"/>
    <mergeCell ref="D18:F18"/>
    <mergeCell ref="D19:F19"/>
    <mergeCell ref="D20:F20"/>
  </mergeCells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2024-08-27T18:35:19Z</cp:lastPrinted>
  <dcterms:created xsi:type="dcterms:W3CDTF">2022-10-19T19:05:00Z</dcterms:created>
  <dcterms:modified xsi:type="dcterms:W3CDTF">2024-09-06T19:50:44Z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