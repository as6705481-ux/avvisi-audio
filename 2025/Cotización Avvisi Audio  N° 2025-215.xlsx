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ACD01573-80FD-446C-8F54-B9155B485F98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H28" i="1" l="1"/>
  <c r="H29" i="1" s="1"/>
  <c r="H30" i="1" l="1"/>
</calcChain>
</file>

<file path=xl/sharedStrings.xml><?xml version="1.0" encoding="utf-8"?>
<sst xmlns="http://schemas.openxmlformats.org/spreadsheetml/2006/main" count="28" uniqueCount="27">
  <si>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</si>
  <si>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</si>
  <si>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</si>
  <si>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</si>
  <si>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</si>
  <si>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</si>
  <si>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</si>
  <si>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</si>
  <si>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</si>
  <si>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</si>
  <si>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</si>
  <si>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</si>
  <si>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</si>
  <si>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</si>
  <si>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</si>
  <si>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</si>
  <si>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</si>
  <si>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</si>
  <si>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Pantalla Led 3x2 mts</t>
  </si>
  <si>
    <t>2025-215</t>
  </si>
  <si>
    <t>Tegucigalpa</t>
  </si>
  <si>
    <t>Tania Ulloa</t>
  </si>
  <si>
    <t>Transporte de letras</t>
  </si>
  <si>
    <t xml:space="preserve">Pantalla vertical </t>
  </si>
  <si>
    <t>01 de Agosto</t>
  </si>
  <si>
    <t>Inversiones Graficas</t>
  </si>
  <si>
    <t>Luces Led (cortesia)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</si>
</sst>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  <xf numFmtId="44" fontId="8" fillId="0" borderId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0" fontId="6" fillId="2" borderId="8" xfId="1" applyFont="1" applyFill="1" applyBorder="1" applyAlignment="1">
      <alignment horizontal="center"/>
    </xf>
    <xf numFmtId="0" fontId="8" fillId="3" borderId="3" xfId="2" applyBorder="1" applyAlignment="1"/>
    <xf numFmtId="0" fontId="8" fillId="3" borderId="3" xfId="2" applyBorder="1" applyAlignment="1">
      <alignment horizontal="center" vertical="center"/>
    </xf>
    <xf numFmtId="44" fontId="8" fillId="3" borderId="3" xfId="2" applyNumberFormat="1" applyBorder="1" applyAlignment="1"/>
    <xf numFmtId="44" fontId="8" fillId="3" borderId="3" xfId="3" applyFill="1" applyBorder="1" applyAlignment="1"/>
    <xf numFmtId="0" fontId="3" fillId="0" borderId="1" xfId="0" applyFont="1" applyBorder="1" applyAlignment="1">
      <alignment horizontal="center"/>
    </xf>
    <xf numFmtId="0" fontId="3" fillId="3" borderId="6" xfId="2" applyFont="1" applyBorder="1" applyAlignment="1">
      <alignment horizontal="left"/>
    </xf>
    <xf numFmtId="0" fontId="3" fillId="3" borderId="4" xfId="2" applyFont="1" applyBorder="1" applyAlignment="1">
      <alignment horizontal="left"/>
    </xf>
    <xf numFmtId="0" fontId="13" fillId="2" borderId="8" xfId="1" applyFont="1" applyFill="1" applyBorder="1" applyAlignment="1">
      <alignment horizontal="center"/>
    </xf>
    <xf numFmtId="0" fontId="2" fillId="3" borderId="6" xfId="2" applyFont="1" applyBorder="1" applyAlignment="1">
      <alignment horizontal="left" wrapText="1"/>
    </xf>
    <xf numFmtId="0" fontId="2" fillId="3" borderId="4" xfId="2" applyFont="1" applyBorder="1" applyAlignment="1">
      <alignment horizontal="left" wrapText="1"/>
    </xf>
    <xf numFmtId="0" fontId="3" fillId="3" borderId="5" xfId="2" applyFont="1" applyBorder="1" applyAlignment="1">
      <alignment horizontal="left"/>
    </xf>
    <xf numFmtId="0" fontId="3" fillId="3" borderId="6" xfId="2" applyFont="1" applyBorder="1" applyAlignment="1">
      <alignment horizontal="left"/>
    </xf>
    <xf numFmtId="0" fontId="3" fillId="3" borderId="4" xfId="2" applyFont="1" applyBorder="1" applyAlignment="1">
      <alignment horizontal="left"/>
    </xf>
    <xf numFmtId="0" fontId="8" fillId="3" borderId="6" xfId="2" applyBorder="1" applyAlignment="1">
      <alignment horizontal="left"/>
    </xf>
    <xf numFmtId="0" fontId="8" fillId="3" borderId="4" xfId="2" applyBorder="1" applyAlignment="1">
      <alignment horizontal="left"/>
    </xf>
    <xf numFmtId="0" fontId="8" fillId="3" borderId="6" xfId="2" applyBorder="1" applyAlignment="1">
      <alignment horizontal="left" vertical="top"/>
    </xf>
    <xf numFmtId="0" fontId="8" fillId="3" borderId="4" xfId="2" applyBorder="1" applyAlignment="1">
      <alignment horizontal="left" vertical="top"/>
    </xf>
    <xf numFmtId="0" fontId="0" fillId="0" borderId="2" xfId="0" applyBorder="1"/>
    <xf numFmtId="0" fontId="12" fillId="3" borderId="5" xfId="2" applyFont="1" applyBorder="1" applyAlignment="1">
      <alignment horizontal="center"/>
    </xf>
    <xf numFmtId="0" fontId="12" fillId="3" borderId="6" xfId="2" applyFont="1" applyBorder="1" applyAlignment="1">
      <alignment horizontal="center"/>
    </xf>
    <xf numFmtId="0" fontId="12" fillId="3" borderId="4" xfId="2" applyFont="1" applyBorder="1" applyAlignment="1">
      <alignment horizontal="center"/>
    </xf>
    <xf numFmtId="0" fontId="8" fillId="3" borderId="6" xfId="2" applyBorder="1" applyAlignment="1">
      <alignment vertical="center"/>
    </xf>
    <xf numFmtId="0" fontId="8" fillId="3" borderId="4" xfId="2" applyBorder="1" applyAlignment="1">
      <alignment vertical="center"/>
    </xf>
    <xf numFmtId="14" fontId="0" fillId="0" borderId="2" xfId="0" applyNumberFormat="1" applyBorder="1" applyAlignment="1">
      <alignment horizontal="center"/>
    </xf>
    <xf numFmtId="0" fontId="6" fillId="2" borderId="8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3" borderId="5" xfId="2" applyFont="1" applyBorder="1" applyAlignment="1">
      <alignment horizontal="left" wrapText="1"/>
    </xf>
    <xf numFmtId="0" fontId="1" fillId="3" borderId="5" xfId="2" applyFont="1" applyBorder="1" applyAlignment="1">
      <alignment horizontal="left"/>
    </xf>
    <xf numFmtId="0" fontId="1" fillId="3" borderId="5" xfId="2" applyFont="1" applyBorder="1" applyAlignment="1">
      <alignment horizontal="left" vertical="top"/>
    </xf>
    <xf numFmtId="0" fontId="1" fillId="3" borderId="5" xfId="2" applyFont="1" applyBorder="1" applyAlignment="1">
      <alignment vertical="center"/>
    </xf>
    <xf numFmtId="0" fontId="1" fillId="3" borderId="5" xfId="2" applyFont="1" applyBorder="1" applyAlignment="1">
      <alignment horizontal="left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33</xdr:row>
      <xdr:rowOff>83925</xdr:rowOff>
    </xdr:from>
    <xdr:to>
      <xdr:col>1</xdr:col>
      <xdr:colOff>113617</xdr:colOff>
      <xdr:row>35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928" y="6186790"/>
          <a:ext cx="50716" cy="336582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134615" cy="1336230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27</xdr:row>
      <xdr:rowOff>163794</xdr:rowOff>
    </xdr:from>
    <xdr:to>
      <xdr:col>7</xdr:col>
      <xdr:colOff>847459</xdr:colOff>
      <xdr:row>38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36</xdr:row>
      <xdr:rowOff>1228103</xdr:rowOff>
    </xdr:from>
    <xdr:to>
      <xdr:col>4</xdr:col>
      <xdr:colOff>182839</xdr:colOff>
      <xdr:row>42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36</xdr:row>
      <xdr:rowOff>1253501</xdr:rowOff>
    </xdr:from>
    <xdr:to>
      <xdr:col>8</xdr:col>
      <xdr:colOff>52800</xdr:colOff>
      <xdr:row>43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185161</xdr:rowOff>
    </xdr:from>
    <xdr:to>
      <xdr:col>4</xdr:col>
      <xdr:colOff>1032164</xdr:colOff>
      <xdr:row>38</xdr:row>
      <xdr:rowOff>249253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354656"/>
          <a:ext cx="3531809" cy="185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6"/>
  <sheetViews>
    <sheetView tabSelected="1" view="pageLayout" zoomScale="111" zoomScaleNormal="62" zoomScaleSheetLayoutView="112" zoomScalePageLayoutView="111" workbookViewId="0">
      <selection activeCell="D23" sqref="D23:F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20.77734375" customWidth="1"/>
    <col min="7" max="7" width="14.109375" customWidth="1"/>
    <col min="8" max="8" width="12.77734375" customWidth="1"/>
    <col min="9" max="9" width="9.21875" customWidth="1"/>
  </cols>
  <sheetData>
    <row r="5" spans="2:9">
      <c r="H5" s="5" t="s">
        <v>11</v>
      </c>
      <c r="I5" s="1"/>
    </row>
    <row r="6" spans="2:9">
      <c r="H6" s="43" t="s">
        <v>19</v>
      </c>
    </row>
    <row r="11" spans="2:9" ht="12.6" customHeight="1">
      <c r="B11" s="37" t="s">
        <v>13</v>
      </c>
      <c r="C11" s="37"/>
      <c r="D11" s="45" t="s">
        <v>25</v>
      </c>
      <c r="E11" s="40"/>
      <c r="F11" t="s">
        <v>10</v>
      </c>
      <c r="G11" s="44" t="s">
        <v>21</v>
      </c>
      <c r="H11" s="36"/>
    </row>
    <row r="12" spans="2:9" ht="14.4" customHeight="1">
      <c r="B12" s="38" t="s">
        <v>0</v>
      </c>
      <c r="C12" s="38"/>
      <c r="D12" s="46" t="s">
        <v>20</v>
      </c>
      <c r="E12" s="42"/>
      <c r="F12" s="1" t="s">
        <v>14</v>
      </c>
      <c r="G12" s="41"/>
      <c r="H12" s="41"/>
    </row>
    <row r="13" spans="2:9">
      <c r="B13" s="1" t="s">
        <v>1</v>
      </c>
      <c r="C13" s="1" t="s">
        <v>2</v>
      </c>
      <c r="D13" s="39" t="s">
        <v>3</v>
      </c>
      <c r="E13" s="39"/>
      <c r="F13" s="37" t="s">
        <v>9</v>
      </c>
      <c r="G13" s="37"/>
      <c r="H13" s="1" t="s">
        <v>12</v>
      </c>
    </row>
    <row r="14" spans="2:9">
      <c r="B14" s="2">
        <v>45501</v>
      </c>
      <c r="C14" s="1"/>
      <c r="D14" s="47" t="s">
        <v>24</v>
      </c>
      <c r="E14" s="33"/>
      <c r="F14" s="35"/>
      <c r="G14" s="36"/>
      <c r="H14" s="14" t="s">
        <v>17</v>
      </c>
    </row>
    <row r="15" spans="2:9" ht="15.6">
      <c r="B15" s="9" t="s">
        <v>4</v>
      </c>
      <c r="C15" s="17" t="s">
        <v>8</v>
      </c>
      <c r="D15" s="34" t="s">
        <v>5</v>
      </c>
      <c r="E15" s="34"/>
      <c r="F15" s="34"/>
      <c r="G15" s="9" t="s">
        <v>6</v>
      </c>
      <c r="H15" s="9" t="s">
        <v>7</v>
      </c>
    </row>
    <row r="16" spans="2:9">
      <c r="B16" s="3">
        <v>1</v>
      </c>
      <c r="C16" s="3">
        <v>1</v>
      </c>
      <c r="D16" s="48" t="s">
        <v>18</v>
      </c>
      <c r="E16" s="18"/>
      <c r="F16" s="19"/>
      <c r="G16" s="13">
        <v>10000</v>
      </c>
      <c r="H16" s="13">
        <v>12000</v>
      </c>
    </row>
    <row r="17" spans="2:8">
      <c r="B17" s="3">
        <v>1</v>
      </c>
      <c r="C17" s="11">
        <v>1</v>
      </c>
      <c r="D17" s="49" t="s">
        <v>22</v>
      </c>
      <c r="E17" s="21"/>
      <c r="F17" s="22"/>
      <c r="G17" s="12">
        <v>1500</v>
      </c>
      <c r="H17" s="13">
        <v>1500</v>
      </c>
    </row>
    <row r="18" spans="2:8">
      <c r="B18" s="3">
        <v>1</v>
      </c>
      <c r="C18" s="11">
        <v>1</v>
      </c>
      <c r="D18" s="52" t="s">
        <v>23</v>
      </c>
      <c r="E18" s="15"/>
      <c r="F18" s="16"/>
      <c r="G18" s="12">
        <v>1000</v>
      </c>
      <c r="H18" s="13">
        <v>1000</v>
      </c>
    </row>
    <row r="19" spans="2:8">
      <c r="B19" s="3">
        <v>4</v>
      </c>
      <c r="C19" s="11">
        <v>1</v>
      </c>
      <c r="D19" s="49" t="s">
        <v>26</v>
      </c>
      <c r="E19" s="23"/>
      <c r="F19" s="24"/>
      <c r="G19" s="12"/>
      <c r="H19" s="13"/>
    </row>
    <row r="20" spans="2:8">
      <c r="B20" s="3"/>
      <c r="C20" s="11"/>
      <c r="D20" s="50"/>
      <c r="E20" s="25"/>
      <c r="F20" s="26"/>
      <c r="G20" s="12"/>
      <c r="H20" s="13"/>
    </row>
    <row r="21" spans="2:8">
      <c r="B21" s="3"/>
      <c r="C21" s="3"/>
      <c r="D21" s="49"/>
      <c r="E21" s="23"/>
      <c r="F21" s="24"/>
      <c r="G21" s="12"/>
      <c r="H21" s="13"/>
    </row>
    <row r="22" spans="2:8">
      <c r="B22" s="11"/>
      <c r="C22" s="11"/>
      <c r="D22" s="51"/>
      <c r="E22" s="31"/>
      <c r="F22" s="32"/>
      <c r="G22" s="12"/>
      <c r="H22" s="13"/>
    </row>
    <row r="23" spans="2:8">
      <c r="B23" s="3"/>
      <c r="C23" s="3"/>
      <c r="D23" s="20"/>
      <c r="E23" s="23"/>
      <c r="F23" s="24"/>
      <c r="G23" s="12"/>
      <c r="H23" s="13"/>
    </row>
    <row r="24" spans="2:8">
      <c r="B24" s="3"/>
      <c r="C24" s="3"/>
      <c r="D24" s="20"/>
      <c r="E24" s="23"/>
      <c r="F24" s="24"/>
      <c r="G24" s="12"/>
      <c r="H24" s="13"/>
    </row>
    <row r="25" spans="2:8">
      <c r="B25" s="3"/>
      <c r="C25" s="3"/>
      <c r="D25" s="20"/>
      <c r="E25" s="23"/>
      <c r="F25" s="24"/>
      <c r="G25" s="12"/>
      <c r="H25" s="13"/>
    </row>
    <row r="26" spans="2:8">
      <c r="B26" s="3"/>
      <c r="C26" s="3"/>
      <c r="D26" s="20"/>
      <c r="E26" s="23"/>
      <c r="F26" s="24"/>
      <c r="G26" s="12"/>
      <c r="H26" s="13"/>
    </row>
    <row r="27" spans="2:8">
      <c r="B27" s="10"/>
      <c r="C27" s="10"/>
      <c r="D27" s="28"/>
      <c r="E27" s="29"/>
      <c r="F27" s="30"/>
      <c r="G27" s="12"/>
      <c r="H27" s="13">
        <f t="shared" ref="H27" si="0">G27*B27*C27</f>
        <v>0</v>
      </c>
    </row>
    <row r="28" spans="2:8">
      <c r="D28" s="27"/>
      <c r="E28" s="27"/>
      <c r="F28" s="27"/>
      <c r="G28" s="6" t="s">
        <v>16</v>
      </c>
      <c r="H28" s="7">
        <f>SUM(H16:H27)</f>
        <v>14500</v>
      </c>
    </row>
    <row r="29" spans="2:8">
      <c r="G29" s="6" t="s">
        <v>15</v>
      </c>
      <c r="H29" s="8">
        <f>H28*0.15</f>
        <v>2175</v>
      </c>
    </row>
    <row r="30" spans="2:8">
      <c r="G30" s="6" t="s">
        <v>7</v>
      </c>
      <c r="H30" s="8">
        <f>H28+H29</f>
        <v>16675</v>
      </c>
    </row>
    <row r="37" spans="2:8" ht="126.6" customHeight="1"/>
    <row r="39" spans="2:8" ht="27.6" customHeight="1"/>
    <row r="40" spans="2:8" ht="5.4" customHeight="1">
      <c r="B40" s="4"/>
      <c r="C40" s="4"/>
      <c r="D40" s="4"/>
      <c r="E40" s="4"/>
      <c r="F40" s="4"/>
      <c r="G40" s="4"/>
      <c r="H40" s="4"/>
    </row>
    <row r="42" spans="2:8" ht="25.2" customHeight="1"/>
    <row r="49" ht="21" customHeight="1"/>
    <row r="51" ht="1.95" customHeight="1"/>
    <row r="52" ht="7.95" customHeight="1"/>
    <row r="53" ht="16.05" customHeight="1"/>
    <row r="55" ht="6" customHeight="1"/>
    <row r="56" ht="9.75" customHeight="1"/>
  </sheetData>
  <mergeCells count="23">
    <mergeCell ref="D14:E14"/>
    <mergeCell ref="D15:F15"/>
    <mergeCell ref="F14:G14"/>
    <mergeCell ref="B11:C11"/>
    <mergeCell ref="B12:C12"/>
    <mergeCell ref="D13:E13"/>
    <mergeCell ref="D11:E11"/>
    <mergeCell ref="G11:H11"/>
    <mergeCell ref="F13:G13"/>
    <mergeCell ref="G12:H12"/>
    <mergeCell ref="D12:E12"/>
    <mergeCell ref="D16:F16"/>
    <mergeCell ref="D17:F17"/>
    <mergeCell ref="D19:F19"/>
    <mergeCell ref="D20:F20"/>
    <mergeCell ref="D28:F28"/>
    <mergeCell ref="D27:F27"/>
    <mergeCell ref="D26:F26"/>
    <mergeCell ref="D24:F24"/>
    <mergeCell ref="D25:F25"/>
    <mergeCell ref="D21:F21"/>
    <mergeCell ref="D22:F22"/>
    <mergeCell ref="D23:F23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2025-07-28T23:54:52Z</cp:lastPrinted>
  <dcterms:created xsi:type="dcterms:W3CDTF">2022-10-19T19:05:00Z</dcterms:created>
  <dcterms:modified xsi:type="dcterms:W3CDTF">2025-07-29T00:04:52Z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