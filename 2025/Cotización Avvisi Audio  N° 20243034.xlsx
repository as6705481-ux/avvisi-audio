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52A1920-5D38-4DC0-BAD4-F7905DEDA4A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7" i="1"/>
  <c r="H18" i="1"/>
  <c r="H34" i="1" l="1"/>
  <c r="H35" i="1" s="1"/>
  <c r="H36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<sst xmlns="http://schemas.openxmlformats.org/spreadsheetml/2006/main" count="25" uniqueCount="25">
  <si>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</si>
  <si>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</si>
  <si>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</si>
  <si>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</si>
  <si>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</si>
  <si>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</si>
  <si>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</si>
  <si>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</si>
  <si>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</si>
  <si>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</si>
  <si>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</si>
  <si>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</si>
  <si>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</si>
  <si>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</si>
  <si>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</si>
  <si>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</si>
  <si>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</si>
  <si>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</si>
  <si>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</si>
  <si>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>Agosto y septiembre</t>
  </si>
  <si>
    <t xml:space="preserve">Grupo Q </t>
  </si>
  <si>
    <t>Edecan para punto de venta</t>
  </si>
  <si>
    <t>animador para punto de venta</t>
  </si>
  <si>
    <t xml:space="preserve">San Pedro Sula </t>
  </si>
  <si>
    <t>2024-3034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</si>
</sst>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8" fillId="4" borderId="5" applyNumberFormat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0" fillId="3" borderId="3" xfId="3" applyBorder="1" applyAlignment="1">
      <alignment horizontal="center"/>
    </xf>
    <xf numFmtId="164" fontId="10" fillId="3" borderId="3" xfId="3" applyNumberFormat="1" applyBorder="1"/>
    <xf numFmtId="164" fontId="8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164" fontId="11" fillId="2" borderId="3" xfId="3" applyNumberFormat="1" applyFont="1" applyFill="1" applyBorder="1"/>
    <xf numFmtId="164" fontId="11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4" fillId="3" borderId="6" xfId="3" applyFont="1" applyBorder="1" applyAlignment="1">
      <alignment horizontal="left" vertical="center"/>
    </xf>
    <xf numFmtId="0" fontId="6" fillId="3" borderId="7" xfId="3" applyFont="1" applyBorder="1" applyAlignment="1">
      <alignment horizontal="left" vertical="center"/>
    </xf>
    <xf numFmtId="0" fontId="6" fillId="3" borderId="4" xfId="3" applyFont="1" applyBorder="1" applyAlignment="1">
      <alignment horizontal="left" vertical="center"/>
    </xf>
    <xf numFmtId="0" fontId="10" fillId="3" borderId="3" xfId="3" applyBorder="1" applyAlignment="1">
      <alignment horizontal="left"/>
    </xf>
    <xf numFmtId="0" fontId="2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10" fillId="3" borderId="3" xfId="3" applyBorder="1" applyAlignment="1">
      <alignment horizontal="left" vertical="center"/>
    </xf>
    <xf numFmtId="0" fontId="4" fillId="3" borderId="3" xfId="3" applyFont="1" applyBorder="1" applyAlignment="1">
      <alignment horizontal="left" vertical="center"/>
    </xf>
    <xf numFmtId="17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4" fillId="3" borderId="6" xfId="3" applyFont="1" applyBorder="1" applyAlignment="1">
      <alignment horizontal="left"/>
    </xf>
    <xf numFmtId="0" fontId="6" fillId="3" borderId="7" xfId="3" applyFont="1" applyBorder="1" applyAlignment="1">
      <alignment horizontal="left"/>
    </xf>
    <xf numFmtId="0" fontId="6" fillId="3" borderId="4" xfId="3" applyFont="1" applyBorder="1" applyAlignment="1">
      <alignment horizontal="left"/>
    </xf>
    <xf numFmtId="0" fontId="4" fillId="3" borderId="3" xfId="3" applyFont="1" applyBorder="1" applyAlignment="1">
      <alignment horizontal="left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  <xf numFmtId="0" fontId="1" fillId="0" borderId="8" xfId="0" applyFont="1" applyBorder="1" applyAlignment="1">
      <alignment horizont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topLeftCell="A2" zoomScale="72" zoomScaleNormal="100" zoomScaleSheetLayoutView="112" zoomScalePageLayoutView="72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14" t="s">
        <v>13</v>
      </c>
      <c r="I6" s="1"/>
    </row>
    <row r="7" spans="2:9">
      <c r="H7" s="45" t="s">
        <v>24</v>
      </c>
    </row>
    <row r="12" spans="2:9" ht="12.6" customHeight="1">
      <c r="B12" s="33" t="s">
        <v>0</v>
      </c>
      <c r="C12" s="33"/>
      <c r="D12" s="43" t="s">
        <v>20</v>
      </c>
      <c r="E12" s="34"/>
      <c r="F12" t="s">
        <v>12</v>
      </c>
      <c r="G12" s="31" t="s">
        <v>14</v>
      </c>
      <c r="H12" s="31"/>
    </row>
    <row r="13" spans="2:9" ht="14.4" customHeight="1">
      <c r="B13" s="33" t="s">
        <v>1</v>
      </c>
      <c r="C13" s="33"/>
      <c r="D13" s="43" t="s">
        <v>23</v>
      </c>
      <c r="E13" s="34"/>
      <c r="F13" s="34"/>
      <c r="G13" s="34"/>
    </row>
    <row r="14" spans="2:9">
      <c r="B14" s="1" t="s">
        <v>2</v>
      </c>
      <c r="C14" s="1" t="s">
        <v>3</v>
      </c>
      <c r="D14" s="27" t="s">
        <v>4</v>
      </c>
      <c r="E14" s="27"/>
      <c r="F14" s="27" t="s">
        <v>11</v>
      </c>
      <c r="G14" s="27"/>
      <c r="H14" s="1" t="s">
        <v>17</v>
      </c>
    </row>
    <row r="15" spans="2:9">
      <c r="B15" s="2">
        <v>45502</v>
      </c>
      <c r="C15" s="1"/>
      <c r="D15" s="26" t="s">
        <v>19</v>
      </c>
      <c r="E15" s="27"/>
      <c r="F15" s="30" t="s">
        <v>18</v>
      </c>
      <c r="G15" s="31"/>
      <c r="H15" s="13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6</v>
      </c>
      <c r="D17" s="29" t="s">
        <v>21</v>
      </c>
      <c r="E17" s="19"/>
      <c r="F17" s="19"/>
      <c r="G17" s="5">
        <v>1500</v>
      </c>
      <c r="H17" s="8">
        <f>C17*G17*B17</f>
        <v>9000</v>
      </c>
    </row>
    <row r="18" spans="2:8">
      <c r="B18" s="4">
        <v>1</v>
      </c>
      <c r="C18" s="9">
        <v>6</v>
      </c>
      <c r="D18" s="44" t="s">
        <v>22</v>
      </c>
      <c r="E18" s="19"/>
      <c r="F18" s="19"/>
      <c r="G18" s="15">
        <v>1500</v>
      </c>
      <c r="H18" s="8">
        <f t="shared" ref="H18:H19" si="0">C18*G18</f>
        <v>9000</v>
      </c>
    </row>
    <row r="19" spans="2:8">
      <c r="B19" s="4"/>
      <c r="C19" s="9"/>
      <c r="D19" s="20"/>
      <c r="E19" s="21"/>
      <c r="F19" s="22"/>
      <c r="G19" s="5"/>
      <c r="H19" s="8">
        <f t="shared" si="0"/>
        <v>0</v>
      </c>
    </row>
    <row r="20" spans="2:8">
      <c r="B20" s="4"/>
      <c r="C20" s="9"/>
      <c r="D20" s="23"/>
      <c r="E20" s="24"/>
      <c r="F20" s="24"/>
      <c r="G20" s="5"/>
      <c r="H20" s="8"/>
    </row>
    <row r="21" spans="2:8">
      <c r="B21" s="4"/>
      <c r="C21" s="9"/>
      <c r="D21" s="25"/>
      <c r="E21" s="24"/>
      <c r="F21" s="24"/>
      <c r="G21" s="5"/>
      <c r="H21" s="8"/>
    </row>
    <row r="22" spans="2:8">
      <c r="B22" s="4"/>
      <c r="C22" s="9"/>
      <c r="D22" s="25"/>
      <c r="E22" s="24"/>
      <c r="F22" s="24"/>
      <c r="G22" s="5"/>
      <c r="H22" s="8"/>
    </row>
    <row r="23" spans="2:8">
      <c r="B23" s="4"/>
      <c r="C23" s="9"/>
      <c r="D23" s="25"/>
      <c r="E23" s="24"/>
      <c r="F23" s="24"/>
      <c r="G23" s="5"/>
      <c r="H23" s="8"/>
    </row>
    <row r="24" spans="2:8">
      <c r="B24" s="4"/>
      <c r="C24" s="9"/>
      <c r="D24" s="16"/>
      <c r="E24" s="17"/>
      <c r="F24" s="18"/>
      <c r="G24" s="5"/>
      <c r="H24" s="8"/>
    </row>
    <row r="25" spans="2:8">
      <c r="B25" s="4"/>
      <c r="C25" s="9"/>
      <c r="D25" s="40"/>
      <c r="E25" s="19"/>
      <c r="F25" s="19"/>
      <c r="G25" s="5"/>
      <c r="H25" s="8"/>
    </row>
    <row r="26" spans="2:8">
      <c r="B26" s="4"/>
      <c r="C26" s="9"/>
      <c r="D26" s="37"/>
      <c r="E26" s="38"/>
      <c r="F26" s="39"/>
      <c r="G26" s="5"/>
      <c r="H26" s="8"/>
    </row>
    <row r="27" spans="2:8">
      <c r="B27" s="4"/>
      <c r="C27" s="9"/>
      <c r="D27" s="25"/>
      <c r="E27" s="24"/>
      <c r="F27" s="24"/>
      <c r="G27" s="5"/>
      <c r="H27" s="8"/>
    </row>
    <row r="28" spans="2:8">
      <c r="B28" s="4"/>
      <c r="C28" s="9"/>
      <c r="D28" s="16"/>
      <c r="E28" s="41"/>
      <c r="F28" s="42"/>
      <c r="G28" s="5"/>
      <c r="H28" s="8"/>
    </row>
    <row r="29" spans="2:8">
      <c r="B29" s="4"/>
      <c r="C29" s="9"/>
      <c r="D29" s="16"/>
      <c r="E29" s="41"/>
      <c r="F29" s="42"/>
      <c r="G29" s="5"/>
      <c r="H29" s="8"/>
    </row>
    <row r="30" spans="2:8">
      <c r="B30" s="4"/>
      <c r="C30" s="9"/>
      <c r="D30" s="16"/>
      <c r="E30" s="41"/>
      <c r="F30" s="42"/>
      <c r="G30" s="5"/>
      <c r="H30" s="8"/>
    </row>
    <row r="31" spans="2:8">
      <c r="B31" s="4"/>
      <c r="C31" s="9"/>
      <c r="D31" s="16"/>
      <c r="E31" s="41"/>
      <c r="F31" s="42"/>
      <c r="G31" s="5"/>
      <c r="H31" s="8"/>
    </row>
    <row r="32" spans="2:8">
      <c r="B32" s="4"/>
      <c r="C32" s="9"/>
      <c r="D32" s="16"/>
      <c r="E32" s="41"/>
      <c r="F32" s="42"/>
      <c r="G32" s="5"/>
      <c r="H32" s="8"/>
    </row>
    <row r="33" spans="2:8">
      <c r="B33" s="4"/>
      <c r="C33" s="9"/>
      <c r="D33" s="16"/>
      <c r="E33" s="41"/>
      <c r="F33" s="42"/>
      <c r="G33" s="5"/>
      <c r="H33" s="8"/>
    </row>
    <row r="34" spans="2:8">
      <c r="D34" s="35"/>
      <c r="E34" s="35"/>
      <c r="F34" s="35"/>
      <c r="G34" s="10" t="s">
        <v>10</v>
      </c>
      <c r="H34" s="6">
        <f>SUM(H17:H33)</f>
        <v>18000</v>
      </c>
    </row>
    <row r="35" spans="2:8">
      <c r="D35" s="36"/>
      <c r="E35" s="36"/>
      <c r="F35" s="36"/>
      <c r="G35" s="10" t="s">
        <v>15</v>
      </c>
      <c r="H35" s="11">
        <f>H34*0.15</f>
        <v>2700</v>
      </c>
    </row>
    <row r="36" spans="2:8">
      <c r="D36" s="36"/>
      <c r="E36" s="36"/>
      <c r="F36" s="36"/>
      <c r="G36" s="10" t="s">
        <v>16</v>
      </c>
      <c r="H36" s="12">
        <f>H34+H35</f>
        <v>20700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2024-07-29T21:57:35Z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