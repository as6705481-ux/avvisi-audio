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5E6B24A-28AB-4D39-9B3E-6FB17ED4BA6F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28" i="1" l="1"/>
  <c r="H29" i="1" s="1"/>
  <c r="H30" i="1" s="1"/>
</calcChain>
</file>

<file path=xl/sharedStrings.xml><?xml version="1.0" encoding="utf-8"?>
<sst xmlns="http://schemas.openxmlformats.org/spreadsheetml/2006/main" count="34" uniqueCount="33">
  <si>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</si>
  <si>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</si>
  <si>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</si>
  <si>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</si>
  <si>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</si>
  <si>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</si>
  <si>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</si>
  <si>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</si>
  <si>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</si>
  <si>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</si>
  <si>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</si>
  <si>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</si>
  <si>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</si>
  <si>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</si>
  <si>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</si>
  <si>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</si>
  <si>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>ISV 15 %</t>
  </si>
  <si>
    <t xml:space="preserve">Carlos Cruz </t>
  </si>
  <si>
    <t xml:space="preserve">1 dia </t>
  </si>
  <si>
    <t xml:space="preserve">Zona Norte , Choloma </t>
  </si>
  <si>
    <t xml:space="preserve">Inversiones Aliadas S .A </t>
  </si>
  <si>
    <t>2024-3070</t>
  </si>
  <si>
    <t>show musical cris duo sin banda</t>
  </si>
  <si>
    <t xml:space="preserve"> duendecitas y elfo para entrega de dulces y globos</t>
  </si>
  <si>
    <t xml:space="preserve"> sacos con dulces navideños </t>
  </si>
  <si>
    <t>personajes (grinch y señora claus)</t>
  </si>
  <si>
    <t>santa para animar encendido</t>
  </si>
  <si>
    <t>personajes mickey y minnie navideños</t>
  </si>
  <si>
    <t>globos con logo SIN LOGO</t>
  </si>
  <si>
    <t>portaglobos</t>
  </si>
  <si>
    <t>silla blanca para santa</t>
  </si>
  <si>
    <t>host para el evento</t>
  </si>
  <si>
    <t xml:space="preserve"> camerino de lona para personajes santa, duendes y mickey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</si>
</sst>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4" fontId="8" fillId="3" borderId="8" xfId="2" applyNumberFormat="1" applyBorder="1" applyAlignment="1">
      <alignment horizontal="center" vertical="center"/>
    </xf>
    <xf numFmtId="164" fontId="8" fillId="3" borderId="9" xfId="2" applyNumberFormat="1" applyBorder="1" applyAlignment="1">
      <alignment horizontal="center" vertical="center"/>
    </xf>
    <xf numFmtId="164" fontId="8" fillId="3" borderId="10" xfId="2" applyNumberFormat="1" applyBorder="1" applyAlignment="1">
      <alignment horizontal="center" vertic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614817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8218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27</xdr:row>
      <xdr:rowOff>125768</xdr:rowOff>
    </xdr:from>
    <xdr:to>
      <xdr:col>7</xdr:col>
      <xdr:colOff>1050524</xdr:colOff>
      <xdr:row>37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36</xdr:row>
      <xdr:rowOff>266700</xdr:rowOff>
    </xdr:from>
    <xdr:to>
      <xdr:col>4</xdr:col>
      <xdr:colOff>118745</xdr:colOff>
      <xdr:row>41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36</xdr:row>
      <xdr:rowOff>292100</xdr:rowOff>
    </xdr:from>
    <xdr:to>
      <xdr:col>7</xdr:col>
      <xdr:colOff>827405</xdr:colOff>
      <xdr:row>38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view="pageLayout" zoomScale="120" zoomScaleNormal="100" zoomScaleSheetLayoutView="112" zoomScalePageLayoutView="120" workbookViewId="0">
      <selection activeCell="G25" sqref="G25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8.1093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12</v>
      </c>
      <c r="I6" s="1"/>
    </row>
    <row r="7" spans="2:9">
      <c r="H7" s="31" t="s">
        <v>21</v>
      </c>
    </row>
    <row r="12" spans="2:9" ht="12.6" customHeight="1">
      <c r="B12" s="23" t="s">
        <v>15</v>
      </c>
      <c r="C12" s="23"/>
      <c r="D12" s="24" t="s">
        <v>20</v>
      </c>
      <c r="E12" s="25"/>
      <c r="F12" t="s">
        <v>11</v>
      </c>
      <c r="G12" s="26" t="s">
        <v>17</v>
      </c>
      <c r="H12" s="26"/>
    </row>
    <row r="13" spans="2:9" ht="14.4" customHeight="1">
      <c r="B13" s="23" t="s">
        <v>0</v>
      </c>
      <c r="C13" s="23"/>
      <c r="D13" s="24" t="s">
        <v>19</v>
      </c>
      <c r="E13" s="25"/>
      <c r="F13" s="25"/>
      <c r="G13" s="25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45581</v>
      </c>
      <c r="C15" s="1" t="s">
        <v>18</v>
      </c>
      <c r="D15" s="27">
        <v>45597</v>
      </c>
      <c r="E15" s="28"/>
      <c r="F15" s="30" t="s">
        <v>14</v>
      </c>
      <c r="G15" s="26"/>
      <c r="H15" s="7"/>
    </row>
    <row r="16" spans="2:9" ht="15.6">
      <c r="B16" s="3" t="s">
        <v>4</v>
      </c>
      <c r="C16" s="3" t="s">
        <v>8</v>
      </c>
      <c r="D16" s="29" t="s">
        <v>5</v>
      </c>
      <c r="E16" s="29"/>
      <c r="F16" s="29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6" t="s">
        <v>22</v>
      </c>
      <c r="E17" s="17"/>
      <c r="F17" s="17"/>
      <c r="G17" s="9">
        <v>0</v>
      </c>
      <c r="H17" s="32">
        <f>23000</f>
        <v>23000</v>
      </c>
    </row>
    <row r="18" spans="2:8">
      <c r="B18" s="4">
        <v>5</v>
      </c>
      <c r="C18" s="6">
        <v>1</v>
      </c>
      <c r="D18" s="16" t="s">
        <v>23</v>
      </c>
      <c r="E18" s="17"/>
      <c r="F18" s="17"/>
      <c r="G18" s="9">
        <v>0</v>
      </c>
      <c r="H18" s="33"/>
    </row>
    <row r="19" spans="2:8">
      <c r="B19" s="4">
        <v>5</v>
      </c>
      <c r="C19" s="6">
        <v>1</v>
      </c>
      <c r="D19" s="16" t="s">
        <v>24</v>
      </c>
      <c r="E19" s="17"/>
      <c r="F19" s="17"/>
      <c r="G19" s="9">
        <v>0</v>
      </c>
      <c r="H19" s="33"/>
    </row>
    <row r="20" spans="2:8">
      <c r="B20" s="4">
        <v>2</v>
      </c>
      <c r="C20" s="6">
        <v>1</v>
      </c>
      <c r="D20" s="16" t="s">
        <v>25</v>
      </c>
      <c r="E20" s="17"/>
      <c r="F20" s="17"/>
      <c r="G20" s="9">
        <v>0</v>
      </c>
      <c r="H20" s="33"/>
    </row>
    <row r="21" spans="2:8">
      <c r="B21" s="4">
        <v>2</v>
      </c>
      <c r="C21" s="6">
        <v>1</v>
      </c>
      <c r="D21" s="18" t="s">
        <v>26</v>
      </c>
      <c r="E21" s="19"/>
      <c r="F21" s="20"/>
      <c r="G21" s="9">
        <v>0</v>
      </c>
      <c r="H21" s="33"/>
    </row>
    <row r="22" spans="2:8">
      <c r="B22" s="4">
        <v>2</v>
      </c>
      <c r="C22" s="6">
        <v>1</v>
      </c>
      <c r="D22" s="18" t="s">
        <v>27</v>
      </c>
      <c r="E22" s="19"/>
      <c r="F22" s="20"/>
      <c r="G22" s="9">
        <v>0</v>
      </c>
      <c r="H22" s="33"/>
    </row>
    <row r="23" spans="2:8">
      <c r="B23" s="4">
        <v>300</v>
      </c>
      <c r="C23" s="6">
        <v>1</v>
      </c>
      <c r="D23" s="18" t="s">
        <v>28</v>
      </c>
      <c r="E23" s="19"/>
      <c r="F23" s="20"/>
      <c r="G23" s="9">
        <v>0</v>
      </c>
      <c r="H23" s="33"/>
    </row>
    <row r="24" spans="2:8">
      <c r="B24" s="4">
        <v>300</v>
      </c>
      <c r="C24" s="6">
        <v>1</v>
      </c>
      <c r="D24" s="18" t="s">
        <v>29</v>
      </c>
      <c r="E24" s="19"/>
      <c r="F24" s="20"/>
      <c r="G24" s="9">
        <v>0</v>
      </c>
      <c r="H24" s="33"/>
    </row>
    <row r="25" spans="2:8">
      <c r="B25" s="4">
        <v>1</v>
      </c>
      <c r="C25" s="6">
        <v>1</v>
      </c>
      <c r="D25" s="18" t="s">
        <v>30</v>
      </c>
      <c r="E25" s="19"/>
      <c r="F25" s="20"/>
      <c r="G25" s="9">
        <v>0</v>
      </c>
      <c r="H25" s="33"/>
    </row>
    <row r="26" spans="2:8">
      <c r="B26" s="4">
        <v>1</v>
      </c>
      <c r="C26" s="6">
        <v>1</v>
      </c>
      <c r="D26" s="13" t="s">
        <v>31</v>
      </c>
      <c r="E26" s="14"/>
      <c r="F26" s="15"/>
      <c r="G26" s="9">
        <v>0</v>
      </c>
      <c r="H26" s="33"/>
    </row>
    <row r="27" spans="2:8">
      <c r="B27" s="4">
        <v>1</v>
      </c>
      <c r="C27" s="6">
        <v>1</v>
      </c>
      <c r="D27" s="18" t="s">
        <v>32</v>
      </c>
      <c r="E27" s="19"/>
      <c r="F27" s="20"/>
      <c r="G27" s="9">
        <v>0</v>
      </c>
      <c r="H27" s="34"/>
    </row>
    <row r="28" spans="2:8">
      <c r="D28" s="21"/>
      <c r="E28" s="21"/>
      <c r="F28" s="21"/>
      <c r="G28" s="10" t="s">
        <v>9</v>
      </c>
      <c r="H28" s="11">
        <f>SUM(H17:H27)</f>
        <v>23000</v>
      </c>
    </row>
    <row r="29" spans="2:8">
      <c r="G29" s="10" t="s">
        <v>16</v>
      </c>
      <c r="H29" s="12">
        <f>H28*0.15</f>
        <v>3450</v>
      </c>
    </row>
    <row r="30" spans="2:8">
      <c r="G30" s="10" t="s">
        <v>9</v>
      </c>
      <c r="H30" s="12">
        <f>H29+H28</f>
        <v>26450</v>
      </c>
    </row>
    <row r="37" spans="2:8" ht="31.2" customHeight="1"/>
    <row r="39" spans="2:8" ht="27.6" customHeight="1"/>
    <row r="40" spans="2:8" ht="5.4" customHeight="1">
      <c r="B40" s="5"/>
      <c r="C40" s="5"/>
      <c r="D40" s="5"/>
      <c r="E40" s="5"/>
      <c r="F40" s="5"/>
      <c r="G40" s="5"/>
      <c r="H40" s="5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3">
    <mergeCell ref="H17:H27"/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7:F27"/>
    <mergeCell ref="D28:F28"/>
    <mergeCell ref="D23:F23"/>
    <mergeCell ref="D22:F22"/>
    <mergeCell ref="D20:F20"/>
    <mergeCell ref="D21:F21"/>
    <mergeCell ref="D25:F25"/>
    <mergeCell ref="D24:F24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2024-10-16T20:49:31Z</cp:lastPrinted>
  <dcterms:created xsi:type="dcterms:W3CDTF">2022-10-19T19:05:00Z</dcterms:created>
  <dcterms:modified xsi:type="dcterms:W3CDTF">2024-10-16T21:13:32Z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