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68072B0B-29F3-4EB1-878D-4CEE76FD61C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19" i="1" l="1"/>
  <c r="H20" i="1"/>
  <c r="H21" i="1"/>
  <c r="H22" i="1"/>
  <c r="H23" i="1"/>
  <c r="H24" i="1"/>
  <c r="H25" i="1"/>
  <c r="H18" i="1"/>
  <c r="H17" i="1"/>
  <c r="H26" i="1" l="1"/>
  <c r="H28" i="1" s="1"/>
</calcChain>
</file>

<file path=xl/sharedStrings.xml><?xml version="1.0" encoding="utf-8"?>
<sst xmlns="http://schemas.openxmlformats.org/spreadsheetml/2006/main" count="31" uniqueCount="31">
  <si>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</si>
  <si>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</si>
  <si>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</si>
  <si>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</si>
  <si>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</si>
  <si>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</si>
  <si>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</si>
  <si>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</si>
  <si>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</si>
  <si>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</si>
  <si>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</si>
  <si>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</si>
  <si>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</si>
  <si>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</si>
  <si>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</si>
  <si>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</si>
  <si>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</si>
  <si>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Pantalla led 4 x 2  </t>
  </si>
  <si>
    <t xml:space="preserve">Totem Led 2 x 1 </t>
  </si>
  <si>
    <t xml:space="preserve">Audio profesional </t>
  </si>
  <si>
    <t xml:space="preserve">Honduras </t>
  </si>
  <si>
    <t xml:space="preserve">No definida </t>
  </si>
  <si>
    <t xml:space="preserve">Evento Corporativo </t>
  </si>
  <si>
    <t xml:space="preserve">Personal tecnico , staff </t>
  </si>
  <si>
    <t xml:space="preserve">Carlos Cruz </t>
  </si>
  <si>
    <t xml:space="preserve">Tecun </t>
  </si>
  <si>
    <t xml:space="preserve">Tarima 6.25 x 2.50 a 30 cm </t>
  </si>
  <si>
    <t xml:space="preserve">Traslado ( Choloma, cortes ) </t>
  </si>
  <si>
    <t>2025-035</t>
  </si>
  <si>
    <t xml:space="preserve">Viaticos , alimentacion  </t>
  </si>
  <si>
    <t>ISV 15 %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</si>
</sst>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1" fillId="0" borderId="7" xfId="0" applyFont="1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7</xdr:col>
      <xdr:colOff>1032075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G27" sqref="G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5" t="s">
        <v>12</v>
      </c>
      <c r="I6" s="1"/>
    </row>
    <row r="7" spans="2:9">
      <c r="H7" s="15" t="s">
        <v>28</v>
      </c>
    </row>
    <row r="12" spans="2:9" ht="12.6" customHeight="1">
      <c r="B12" s="26" t="s">
        <v>13</v>
      </c>
      <c r="C12" s="26"/>
      <c r="D12" s="27" t="s">
        <v>25</v>
      </c>
      <c r="E12" s="28"/>
      <c r="F12" t="s">
        <v>11</v>
      </c>
      <c r="G12" s="30" t="s">
        <v>24</v>
      </c>
      <c r="H12" s="30"/>
    </row>
    <row r="13" spans="2:9" ht="14.4" customHeight="1">
      <c r="B13" s="26" t="s">
        <v>0</v>
      </c>
      <c r="C13" s="26"/>
      <c r="D13" s="27" t="s">
        <v>20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45686</v>
      </c>
      <c r="C15" s="1" t="s">
        <v>15</v>
      </c>
      <c r="D15" s="31" t="s">
        <v>21</v>
      </c>
      <c r="E15" s="32"/>
      <c r="F15" s="34" t="s">
        <v>22</v>
      </c>
      <c r="G15" s="30"/>
      <c r="H15" s="11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20" t="s">
        <v>17</v>
      </c>
      <c r="E17" s="21"/>
      <c r="F17" s="22"/>
      <c r="G17" s="12">
        <v>14000</v>
      </c>
      <c r="H17" s="13">
        <f>G17*B17*C17</f>
        <v>14000</v>
      </c>
    </row>
    <row r="18" spans="2:8">
      <c r="B18" s="9">
        <v>2</v>
      </c>
      <c r="C18" s="9">
        <v>1</v>
      </c>
      <c r="D18" s="20" t="s">
        <v>18</v>
      </c>
      <c r="E18" s="21"/>
      <c r="F18" s="22"/>
      <c r="G18" s="12">
        <v>3000</v>
      </c>
      <c r="H18" s="13">
        <f>G18*B18*C18</f>
        <v>6000</v>
      </c>
    </row>
    <row r="19" spans="2:8">
      <c r="B19" s="10">
        <v>1</v>
      </c>
      <c r="C19" s="10">
        <v>1</v>
      </c>
      <c r="D19" s="20" t="s">
        <v>19</v>
      </c>
      <c r="E19" s="21"/>
      <c r="F19" s="22"/>
      <c r="G19" s="14">
        <v>4000</v>
      </c>
      <c r="H19" s="13">
        <f t="shared" ref="H19:H25" si="0">G19*B19*C19</f>
        <v>4000</v>
      </c>
    </row>
    <row r="20" spans="2:8">
      <c r="B20" s="10">
        <v>3</v>
      </c>
      <c r="C20" s="10">
        <v>1</v>
      </c>
      <c r="D20" s="20" t="s">
        <v>23</v>
      </c>
      <c r="E20" s="21"/>
      <c r="F20" s="22"/>
      <c r="G20" s="12">
        <v>1000</v>
      </c>
      <c r="H20" s="13">
        <f t="shared" si="0"/>
        <v>3000</v>
      </c>
    </row>
    <row r="21" spans="2:8">
      <c r="B21" s="10">
        <v>1</v>
      </c>
      <c r="C21" s="10">
        <v>1</v>
      </c>
      <c r="D21" s="20" t="s">
        <v>27</v>
      </c>
      <c r="E21" s="23"/>
      <c r="F21" s="24"/>
      <c r="G21" s="12">
        <v>2500</v>
      </c>
      <c r="H21" s="13">
        <f t="shared" si="0"/>
        <v>2500</v>
      </c>
    </row>
    <row r="22" spans="2:8" ht="16.2" customHeight="1">
      <c r="B22" s="10">
        <v>1</v>
      </c>
      <c r="C22" s="10">
        <v>2</v>
      </c>
      <c r="D22" s="20" t="s">
        <v>29</v>
      </c>
      <c r="E22" s="21"/>
      <c r="F22" s="22"/>
      <c r="G22" s="12">
        <v>2500</v>
      </c>
      <c r="H22" s="13">
        <f t="shared" si="0"/>
        <v>5000</v>
      </c>
    </row>
    <row r="23" spans="2:8" ht="16.2" customHeight="1">
      <c r="B23" s="10">
        <v>1</v>
      </c>
      <c r="C23" s="10">
        <v>1</v>
      </c>
      <c r="D23" s="20" t="s">
        <v>26</v>
      </c>
      <c r="E23" s="23"/>
      <c r="F23" s="24"/>
      <c r="G23" s="12">
        <v>4000</v>
      </c>
      <c r="H23" s="13">
        <f t="shared" si="0"/>
        <v>4000</v>
      </c>
    </row>
    <row r="24" spans="2:8" ht="16.2" customHeight="1">
      <c r="B24" s="10"/>
      <c r="C24" s="10"/>
      <c r="D24" s="20"/>
      <c r="E24" s="23"/>
      <c r="F24" s="24"/>
      <c r="G24" s="12"/>
      <c r="H24" s="13">
        <f t="shared" si="0"/>
        <v>0</v>
      </c>
    </row>
    <row r="25" spans="2:8">
      <c r="B25" s="9"/>
      <c r="C25" s="9"/>
      <c r="D25" s="17"/>
      <c r="E25" s="18"/>
      <c r="F25" s="19"/>
      <c r="G25" s="12"/>
      <c r="H25" s="13">
        <f t="shared" si="0"/>
        <v>0</v>
      </c>
    </row>
    <row r="26" spans="2:8">
      <c r="D26" s="16"/>
      <c r="E26" s="16"/>
      <c r="F26" s="16"/>
      <c r="G26" s="6" t="s">
        <v>9</v>
      </c>
      <c r="H26" s="7">
        <f>SUM(H17:H25)</f>
        <v>38500</v>
      </c>
    </row>
    <row r="27" spans="2:8">
      <c r="G27" s="6" t="s">
        <v>30</v>
      </c>
      <c r="H27" s="8">
        <f>H26*0.15</f>
        <v>5775</v>
      </c>
    </row>
    <row r="28" spans="2:8">
      <c r="G28" s="6" t="s">
        <v>16</v>
      </c>
      <c r="H28" s="8">
        <f>H27+H26</f>
        <v>44275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6:F26"/>
    <mergeCell ref="D25:F25"/>
    <mergeCell ref="D20:F20"/>
    <mergeCell ref="D22:F22"/>
    <mergeCell ref="D21:F21"/>
    <mergeCell ref="D23:F23"/>
    <mergeCell ref="D24:F2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2025-01-29T15:27:21Z</cp:lastPrinted>
  <dcterms:created xsi:type="dcterms:W3CDTF">2022-10-19T19:05:00Z</dcterms:created>
  <dcterms:modified xsi:type="dcterms:W3CDTF">2025-01-29T16:10:29Z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