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81D8FE82-DABD-45C2-9CE2-FA3636F4F84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7" i="1" s="1"/>
  <c r="H28" i="1" s="1"/>
</calcChain>
</file>

<file path=xl/sharedStrings.xml><?xml version="1.0" encoding="utf-8"?>
<sst xmlns="http://schemas.openxmlformats.org/spreadsheetml/2006/main" count="32" uniqueCount="32">
  <si>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</si>
  <si>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</si>
  <si>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</si>
  <si>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</si>
  <si>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</si>
  <si>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</si>
  <si>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</si>
  <si>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</si>
  <si>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</si>
  <si>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</si>
  <si>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</si>
  <si>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</si>
  <si>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</si>
  <si>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</si>
  <si>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</si>
  <si>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ISV 15% </t>
  </si>
  <si>
    <t xml:space="preserve">Total </t>
  </si>
  <si>
    <t>2024-319</t>
  </si>
  <si>
    <t xml:space="preserve">Carlos Cruz </t>
  </si>
  <si>
    <t xml:space="preserve">San Pedro Sula </t>
  </si>
  <si>
    <t xml:space="preserve">Lanzamiento </t>
  </si>
  <si>
    <t>Medios JBL 825</t>
  </si>
  <si>
    <t xml:space="preserve">Bajos PRX 18 </t>
  </si>
  <si>
    <t xml:space="preserve">Consola de audio </t>
  </si>
  <si>
    <t xml:space="preserve">Microfonos Shure </t>
  </si>
  <si>
    <t xml:space="preserve">Laptop con audio </t>
  </si>
  <si>
    <t xml:space="preserve">Pantalla led 4 x 3 metros en estructura </t>
  </si>
  <si>
    <t xml:space="preserve">Laptop para video </t>
  </si>
  <si>
    <t xml:space="preserve">Tarima de 3.70 x 5 a 1 metro </t>
  </si>
  <si>
    <t>Transporte de equipo</t>
  </si>
  <si>
    <t xml:space="preserve">26 de Julio </t>
  </si>
  <si>
    <t xml:space="preserve">Comidas Especializadas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</si>
</sst>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4" fillId="4" borderId="5" applyNumberFormat="0" applyAlignment="0" applyProtection="0"/>
    <xf numFmtId="0" fontId="5" fillId="5" borderId="0" applyNumberFormat="0" applyBorder="0" applyAlignment="0" applyProtection="0"/>
    <xf numFmtId="0" fontId="6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6" fillId="3" borderId="3" xfId="3" applyBorder="1" applyAlignment="1">
      <alignment horizontal="center"/>
    </xf>
    <xf numFmtId="164" fontId="6" fillId="3" borderId="3" xfId="3" applyNumberFormat="1" applyBorder="1"/>
    <xf numFmtId="164" fontId="4" fillId="2" borderId="3" xfId="3" applyNumberFormat="1" applyFont="1" applyFill="1" applyBorder="1"/>
    <xf numFmtId="0" fontId="0" fillId="2" borderId="0" xfId="0" applyFill="1" applyAlignment="1">
      <alignment horizont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6" fillId="3" borderId="3" xfId="3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164" fontId="6" fillId="3" borderId="9" xfId="3" applyNumberFormat="1" applyBorder="1" applyAlignment="1">
      <alignment horizontal="center" vertical="center"/>
    </xf>
    <xf numFmtId="164" fontId="6" fillId="3" borderId="10" xfId="3" applyNumberFormat="1" applyBorder="1" applyAlignment="1">
      <alignment horizontal="center" vertical="center"/>
    </xf>
    <xf numFmtId="0" fontId="1" fillId="3" borderId="3" xfId="3" applyFont="1" applyBorder="1" applyAlignment="1">
      <alignment horizontal="left"/>
    </xf>
    <xf numFmtId="0" fontId="7" fillId="3" borderId="3" xfId="3" applyFont="1" applyBorder="1" applyAlignment="1">
      <alignment horizontal="left"/>
    </xf>
    <xf numFmtId="0" fontId="0" fillId="0" borderId="2" xfId="0" applyBorder="1"/>
    <xf numFmtId="0" fontId="0" fillId="0" borderId="0" xfId="0"/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1" fillId="3" borderId="3" xfId="3" applyFont="1" applyBorder="1" applyAlignment="1">
      <alignment horizontal="left" vertical="center"/>
    </xf>
    <xf numFmtId="0" fontId="6" fillId="3" borderId="3" xfId="3" applyBorder="1" applyAlignment="1">
      <alignment horizontal="left" vertical="center"/>
    </xf>
    <xf numFmtId="0" fontId="1" fillId="3" borderId="7" xfId="3" applyFont="1" applyBorder="1" applyAlignment="1">
      <alignment horizontal="left" vertical="center"/>
    </xf>
    <xf numFmtId="0" fontId="2" fillId="3" borderId="8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10" fillId="0" borderId="0" xfId="0" applyFont="1"/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33</xdr:row>
      <xdr:rowOff>83925</xdr:rowOff>
    </xdr:from>
    <xdr:to>
      <xdr:col>1</xdr:col>
      <xdr:colOff>113617</xdr:colOff>
      <xdr:row>35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6116425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365124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619874" cy="1332583"/>
          <a:chOff x="-81784" y="149670"/>
          <a:chExt cx="6641069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4" y="149670"/>
            <a:ext cx="138554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9525</xdr:colOff>
      <xdr:row>25</xdr:row>
      <xdr:rowOff>63501</xdr:rowOff>
    </xdr:from>
    <xdr:to>
      <xdr:col>8</xdr:col>
      <xdr:colOff>381001</xdr:colOff>
      <xdr:row>35</xdr:row>
      <xdr:rowOff>47625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4338" y="4818064"/>
          <a:ext cx="6491288" cy="180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0</xdr:col>
      <xdr:colOff>377508</xdr:colOff>
      <xdr:row>36</xdr:row>
      <xdr:rowOff>403225</xdr:rowOff>
    </xdr:from>
    <xdr:to>
      <xdr:col>4</xdr:col>
      <xdr:colOff>20320</xdr:colOff>
      <xdr:row>43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7508" y="7165975"/>
          <a:ext cx="2381250" cy="14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5</xdr:col>
      <xdr:colOff>478155</xdr:colOff>
      <xdr:row>36</xdr:row>
      <xdr:rowOff>417512</xdr:rowOff>
    </xdr:from>
    <xdr:to>
      <xdr:col>8</xdr:col>
      <xdr:colOff>424180</xdr:colOff>
      <xdr:row>43</xdr:row>
      <xdr:rowOff>176529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2405" y="7180262"/>
          <a:ext cx="2946400" cy="1576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8"/>
  <sheetViews>
    <sheetView tabSelected="1" view="pageLayout" topLeftCell="A11" zoomScale="96" zoomScaleNormal="100" zoomScaleSheetLayoutView="112" zoomScalePageLayoutView="96" workbookViewId="0">
      <selection activeCell="K15" sqref="K15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11">
      <c r="B1" s="18"/>
      <c r="C1" s="18"/>
      <c r="D1" s="18"/>
      <c r="E1" s="18"/>
      <c r="F1" s="18"/>
      <c r="G1" s="18"/>
      <c r="H1" s="18"/>
    </row>
    <row r="5" spans="2:11" ht="15" thickBot="1"/>
    <row r="6" spans="2:11" ht="15" thickBot="1">
      <c r="H6" s="9" t="s">
        <v>13</v>
      </c>
      <c r="I6" s="9" t="s">
        <v>17</v>
      </c>
    </row>
    <row r="12" spans="2:11" ht="12.6" customHeight="1">
      <c r="B12" s="19" t="s">
        <v>0</v>
      </c>
      <c r="C12" s="19"/>
      <c r="D12" s="20" t="s">
        <v>31</v>
      </c>
      <c r="E12" s="21"/>
      <c r="F12" t="s">
        <v>12</v>
      </c>
      <c r="G12" s="14" t="s">
        <v>18</v>
      </c>
      <c r="H12" s="14"/>
    </row>
    <row r="13" spans="2:11" ht="14.4" customHeight="1">
      <c r="B13" s="19" t="s">
        <v>1</v>
      </c>
      <c r="C13" s="19"/>
      <c r="D13" s="20" t="s">
        <v>19</v>
      </c>
      <c r="E13" s="21"/>
      <c r="F13" s="21"/>
      <c r="G13" s="21"/>
    </row>
    <row r="14" spans="2:11">
      <c r="B14" s="1" t="s">
        <v>2</v>
      </c>
      <c r="C14" s="1" t="s">
        <v>3</v>
      </c>
      <c r="D14" s="22" t="s">
        <v>4</v>
      </c>
      <c r="E14" s="22"/>
      <c r="F14" s="18" t="s">
        <v>11</v>
      </c>
      <c r="G14" s="18"/>
      <c r="H14" s="18"/>
    </row>
    <row r="15" spans="2:11">
      <c r="B15" s="2">
        <v>45479</v>
      </c>
      <c r="C15" s="1" t="s">
        <v>14</v>
      </c>
      <c r="D15" s="13" t="s">
        <v>30</v>
      </c>
      <c r="E15" s="13"/>
      <c r="F15" s="14" t="s">
        <v>20</v>
      </c>
      <c r="G15" s="14"/>
      <c r="H15" s="14"/>
      <c r="K15" s="37"/>
    </row>
    <row r="16" spans="2:11" ht="15.6">
      <c r="B16" s="3" t="s">
        <v>5</v>
      </c>
      <c r="C16" s="3" t="s">
        <v>9</v>
      </c>
      <c r="D16" s="15" t="s">
        <v>6</v>
      </c>
      <c r="E16" s="15"/>
      <c r="F16" s="15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16" t="s">
        <v>21</v>
      </c>
      <c r="E17" s="17"/>
      <c r="F17" s="17"/>
      <c r="G17" s="5"/>
      <c r="H17" s="23">
        <v>31000</v>
      </c>
    </row>
    <row r="18" spans="2:8">
      <c r="B18" s="4">
        <v>2</v>
      </c>
      <c r="C18" s="8">
        <v>1</v>
      </c>
      <c r="D18" s="25" t="s">
        <v>22</v>
      </c>
      <c r="E18" s="26"/>
      <c r="F18" s="26"/>
      <c r="G18" s="5"/>
      <c r="H18" s="24"/>
    </row>
    <row r="19" spans="2:8">
      <c r="B19" s="4">
        <v>1</v>
      </c>
      <c r="C19" s="8">
        <v>1</v>
      </c>
      <c r="D19" s="25" t="s">
        <v>23</v>
      </c>
      <c r="E19" s="26"/>
      <c r="F19" s="26"/>
      <c r="G19" s="5"/>
      <c r="H19" s="24"/>
    </row>
    <row r="20" spans="2:8">
      <c r="B20" s="4">
        <v>2</v>
      </c>
      <c r="C20" s="8">
        <v>1</v>
      </c>
      <c r="D20" s="25" t="s">
        <v>24</v>
      </c>
      <c r="E20" s="17"/>
      <c r="F20" s="17"/>
      <c r="G20" s="5"/>
      <c r="H20" s="24"/>
    </row>
    <row r="21" spans="2:8">
      <c r="B21" s="4">
        <v>1</v>
      </c>
      <c r="C21" s="8">
        <v>1</v>
      </c>
      <c r="D21" s="32" t="s">
        <v>25</v>
      </c>
      <c r="E21" s="33"/>
      <c r="F21" s="33"/>
      <c r="G21" s="5"/>
      <c r="H21" s="24"/>
    </row>
    <row r="22" spans="2:8">
      <c r="B22" s="4">
        <v>1</v>
      </c>
      <c r="C22" s="8">
        <v>1</v>
      </c>
      <c r="D22" s="32" t="s">
        <v>26</v>
      </c>
      <c r="E22" s="33"/>
      <c r="F22" s="33"/>
      <c r="G22" s="5"/>
      <c r="H22" s="24"/>
    </row>
    <row r="23" spans="2:8">
      <c r="B23" s="4">
        <v>1</v>
      </c>
      <c r="C23" s="8">
        <v>1</v>
      </c>
      <c r="D23" s="34" t="s">
        <v>27</v>
      </c>
      <c r="E23" s="35"/>
      <c r="F23" s="36"/>
      <c r="G23" s="5"/>
      <c r="H23" s="24"/>
    </row>
    <row r="24" spans="2:8">
      <c r="B24" s="4">
        <v>1</v>
      </c>
      <c r="C24" s="8">
        <v>1</v>
      </c>
      <c r="D24" s="29" t="s">
        <v>28</v>
      </c>
      <c r="E24" s="30"/>
      <c r="F24" s="31"/>
      <c r="G24" s="5"/>
      <c r="H24" s="24"/>
    </row>
    <row r="25" spans="2:8">
      <c r="B25" s="4">
        <v>1</v>
      </c>
      <c r="C25" s="8">
        <v>1</v>
      </c>
      <c r="D25" s="29" t="s">
        <v>29</v>
      </c>
      <c r="E25" s="30"/>
      <c r="F25" s="31"/>
      <c r="G25" s="5"/>
      <c r="H25" s="24"/>
    </row>
    <row r="26" spans="2:8">
      <c r="D26" s="27"/>
      <c r="E26" s="27"/>
      <c r="F26" s="27"/>
      <c r="G26" s="10" t="s">
        <v>10</v>
      </c>
      <c r="H26" s="6">
        <f>SUM(H17:H25)</f>
        <v>31000</v>
      </c>
    </row>
    <row r="27" spans="2:8">
      <c r="D27" s="28"/>
      <c r="E27" s="28"/>
      <c r="F27" s="28"/>
      <c r="G27" s="10" t="s">
        <v>15</v>
      </c>
      <c r="H27" s="11">
        <f>H26*0.15</f>
        <v>4650</v>
      </c>
    </row>
    <row r="28" spans="2:8">
      <c r="D28" s="28"/>
      <c r="E28" s="28"/>
      <c r="F28" s="28"/>
      <c r="G28" s="10" t="s">
        <v>16</v>
      </c>
      <c r="H28" s="12">
        <f>H26+H27</f>
        <v>35650</v>
      </c>
    </row>
    <row r="37" spans="2:8" ht="33" customHeight="1"/>
    <row r="39" spans="2:8" ht="46.2" customHeight="1"/>
    <row r="40" spans="2:8" ht="6" customHeight="1">
      <c r="B40" s="7"/>
      <c r="C40" s="7"/>
      <c r="D40" s="7"/>
      <c r="E40" s="7"/>
      <c r="F40" s="7"/>
      <c r="G40" s="7"/>
      <c r="H40" s="7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4">
    <mergeCell ref="D19:F19"/>
    <mergeCell ref="D20:F20"/>
    <mergeCell ref="D21:F21"/>
    <mergeCell ref="D26:F26"/>
    <mergeCell ref="D27:F27"/>
    <mergeCell ref="D28:F28"/>
    <mergeCell ref="D24:F24"/>
    <mergeCell ref="D25:F25"/>
    <mergeCell ref="D15:E15"/>
    <mergeCell ref="F15:H15"/>
    <mergeCell ref="D16:F16"/>
    <mergeCell ref="D17:F17"/>
    <mergeCell ref="B1:H1"/>
    <mergeCell ref="B12:C12"/>
    <mergeCell ref="B13:C13"/>
    <mergeCell ref="D13:G13"/>
    <mergeCell ref="D14:E14"/>
    <mergeCell ref="F14:H14"/>
    <mergeCell ref="D12:E12"/>
    <mergeCell ref="G12:H12"/>
    <mergeCell ref="H17:H25"/>
    <mergeCell ref="D18:F18"/>
    <mergeCell ref="D22:F22"/>
    <mergeCell ref="D23:F23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2024-07-03T16:08:54Z</cp:lastPrinted>
  <dcterms:created xsi:type="dcterms:W3CDTF">2022-10-19T19:05:00Z</dcterms:created>
  <dcterms:modified xsi:type="dcterms:W3CDTF">2024-07-06T17:27:29Z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