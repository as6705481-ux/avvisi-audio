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FB9B1DF-219C-4E3E-8494-5C0195C6C4D1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1" i="1" l="1"/>
  <c r="G23" i="1" l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<sst xmlns="http://schemas.openxmlformats.org/spreadsheetml/2006/main" count="27" uniqueCount="26">
  <si>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</si>
  <si>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</si>
  <si>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</si>
  <si>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</si>
  <si>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</si>
  <si>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</si>
  <si>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</si>
  <si>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</si>
  <si>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</si>
  <si>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</si>
  <si>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>Cotizacion N°</t>
  </si>
  <si>
    <t xml:space="preserve">N° Invitados </t>
  </si>
  <si>
    <t xml:space="preserve">Cliente </t>
  </si>
  <si>
    <t>ISV 15 %</t>
  </si>
  <si>
    <r>
      <rPr>
        <sz val="10.5"/>
        <rFont val="Calibri"/>
        <family val="1"/>
      </rPr>
      <t>Audio Profesional</t>
    </r>
  </si>
  <si>
    <r>
      <rPr>
        <sz val="10.5"/>
        <rFont val="Calibri"/>
        <family val="1"/>
      </rPr>
      <t>L     3,500.00</t>
    </r>
  </si>
  <si>
    <r>
      <rPr>
        <sz val="10.5"/>
        <rFont val="Calibri"/>
        <family val="1"/>
      </rPr>
      <t>Microfonos inalambricos</t>
    </r>
  </si>
  <si>
    <r>
      <rPr>
        <sz val="10.5"/>
        <rFont val="Calibri"/>
        <family val="1"/>
      </rPr>
      <t>L         500.00</t>
    </r>
  </si>
  <si>
    <r>
      <rPr>
        <sz val="10.5"/>
        <rFont val="Calibri"/>
        <family val="1"/>
      </rPr>
      <t>Luces Led RGB para iluminacion de salon</t>
    </r>
  </si>
  <si>
    <r>
      <rPr>
        <sz val="10.5"/>
        <rFont val="Calibri"/>
        <family val="1"/>
      </rPr>
      <t>L         250.00</t>
    </r>
  </si>
  <si>
    <r>
      <rPr>
        <sz val="10.5"/>
        <rFont val="Calibri"/>
        <family val="1"/>
      </rPr>
      <t>Pantalla Led 3.5 x 2.5</t>
    </r>
  </si>
  <si>
    <r>
      <rPr>
        <sz val="10.5"/>
        <rFont val="Calibri"/>
        <family val="1"/>
      </rPr>
      <t>L   17,500.00</t>
    </r>
  </si>
  <si>
    <t>8 de mayo 2025</t>
  </si>
  <si>
    <t>San Pedro Sula</t>
  </si>
  <si>
    <t>Fundacion Crisalida Internacional Glaswing</t>
  </si>
  <si>
    <t>2025-138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</si>
</sst>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charset val="204"/>
    </font>
    <font>
      <sz val="10.5"/>
      <name val="Calibri"/>
    </font>
    <font>
      <sz val="10.5"/>
      <color rgb="FF000000"/>
      <name val="Calibri"/>
      <family val="2"/>
    </font>
    <font>
      <sz val="10.5"/>
      <name val="Calibri"/>
      <family val="1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3D5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  <xf numFmtId="0" fontId="1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0" fontId="4" fillId="2" borderId="6" xfId="1" applyFon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2" xfId="0" applyBorder="1"/>
    <xf numFmtId="1" fontId="12" fillId="6" borderId="7" xfId="3" applyNumberFormat="1" applyFont="1" applyFill="1" applyBorder="1" applyAlignment="1">
      <alignment horizontal="center" vertical="top" shrinkToFit="1"/>
    </xf>
    <xf numFmtId="4" fontId="12" fillId="6" borderId="9" xfId="3" applyNumberFormat="1" applyFont="1" applyFill="1" applyBorder="1" applyAlignment="1">
      <alignment horizontal="right" vertical="top" shrinkToFit="1"/>
    </xf>
    <xf numFmtId="0" fontId="11" fillId="6" borderId="8" xfId="3" applyFont="1" applyFill="1" applyBorder="1" applyAlignment="1">
      <alignment horizontal="left" vertical="top" wrapText="1"/>
    </xf>
    <xf numFmtId="0" fontId="11" fillId="6" borderId="9" xfId="3" applyFont="1" applyFill="1" applyBorder="1" applyAlignment="1">
      <alignment horizontal="left" vertical="top" wrapText="1"/>
    </xf>
    <xf numFmtId="0" fontId="11" fillId="6" borderId="8" xfId="3" applyFont="1" applyFill="1" applyBorder="1" applyAlignment="1">
      <alignment horizontal="center" vertical="top" wrapText="1"/>
    </xf>
    <xf numFmtId="14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Normal" xfId="0" builtinId="0"/>
    <cellStyle name="Normal 2" xfId="3" xr:uid="{CA1C83AF-60C5-4739-94B5-B67214611477}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26</xdr:row>
      <xdr:rowOff>83925</xdr:rowOff>
    </xdr:from>
    <xdr:to>
      <xdr:col>1</xdr:col>
      <xdr:colOff>113617</xdr:colOff>
      <xdr:row>28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4012" y="4731184"/>
          <a:ext cx="50716" cy="32336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6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3115"/>
          <a:ext cx="5906043" cy="128995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6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6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67901</xdr:colOff>
      <xdr:row>20</xdr:row>
      <xdr:rowOff>88420</xdr:rowOff>
    </xdr:from>
    <xdr:to>
      <xdr:col>7</xdr:col>
      <xdr:colOff>40885</xdr:colOff>
      <xdr:row>31</xdr:row>
      <xdr:rowOff>19705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67901" y="3702262"/>
          <a:ext cx="6008628" cy="25341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29</xdr:row>
      <xdr:rowOff>601411</xdr:rowOff>
    </xdr:from>
    <xdr:to>
      <xdr:col>4</xdr:col>
      <xdr:colOff>168596</xdr:colOff>
      <xdr:row>31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29</xdr:row>
      <xdr:rowOff>612567</xdr:rowOff>
    </xdr:from>
    <xdr:to>
      <xdr:col>6</xdr:col>
      <xdr:colOff>991200</xdr:colOff>
      <xdr:row>33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26</xdr:row>
      <xdr:rowOff>149553</xdr:rowOff>
    </xdr:from>
    <xdr:to>
      <xdr:col>4</xdr:col>
      <xdr:colOff>1032164</xdr:colOff>
      <xdr:row>33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9"/>
  <sheetViews>
    <sheetView tabSelected="1" zoomScale="81" zoomScaleNormal="175" zoomScaleSheetLayoutView="112" zoomScalePageLayoutView="107" workbookViewId="0">
      <selection activeCell="J3" sqref="J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25" customWidth="1"/>
    <col min="6" max="6" width="12" customWidth="1"/>
    <col min="7" max="7" width="15.88671875" customWidth="1"/>
    <col min="8" max="8" width="9.21875" customWidth="1"/>
  </cols>
  <sheetData>
    <row r="1" spans="2:8">
      <c r="B1" s="14"/>
      <c r="C1" s="14"/>
      <c r="D1" s="14"/>
      <c r="E1" s="14"/>
      <c r="F1" s="14"/>
      <c r="G1" s="14"/>
    </row>
    <row r="6" spans="2:8">
      <c r="G6" s="6" t="s">
        <v>10</v>
      </c>
      <c r="H6" s="1"/>
    </row>
    <row r="7" spans="2:8">
      <c r="G7" s="29" t="s">
        <v>25</v>
      </c>
    </row>
    <row r="12" spans="2:8" ht="12.6" customHeight="1">
      <c r="B12" s="15" t="s">
        <v>12</v>
      </c>
      <c r="C12" s="15"/>
      <c r="D12" s="28" t="s">
        <v>24</v>
      </c>
      <c r="E12" s="17"/>
      <c r="F12" s="13"/>
      <c r="G12" s="13"/>
    </row>
    <row r="13" spans="2:8" ht="14.4" customHeight="1">
      <c r="B13" s="15" t="s">
        <v>0</v>
      </c>
      <c r="C13" s="15"/>
      <c r="D13" s="27" t="s">
        <v>23</v>
      </c>
      <c r="E13" s="19"/>
      <c r="F13" s="18"/>
      <c r="G13" s="18"/>
    </row>
    <row r="14" spans="2:8">
      <c r="B14" s="1" t="s">
        <v>1</v>
      </c>
      <c r="C14" s="1" t="s">
        <v>2</v>
      </c>
      <c r="D14" s="16" t="s">
        <v>3</v>
      </c>
      <c r="E14" s="16"/>
      <c r="F14" s="1"/>
      <c r="G14" s="1" t="s">
        <v>11</v>
      </c>
    </row>
    <row r="15" spans="2:8">
      <c r="B15" s="2">
        <v>45771</v>
      </c>
      <c r="C15" s="1"/>
      <c r="D15" s="26" t="s">
        <v>22</v>
      </c>
      <c r="E15" s="11"/>
      <c r="F15" s="5"/>
      <c r="G15" s="5"/>
    </row>
    <row r="16" spans="2:8" ht="15.6">
      <c r="B16" s="3" t="s">
        <v>4</v>
      </c>
      <c r="C16" s="3" t="s">
        <v>8</v>
      </c>
      <c r="D16" s="12" t="s">
        <v>5</v>
      </c>
      <c r="E16" s="12"/>
      <c r="F16" s="3" t="s">
        <v>6</v>
      </c>
      <c r="G16" s="10" t="s">
        <v>7</v>
      </c>
    </row>
    <row r="17" spans="2:7">
      <c r="B17" s="21">
        <v>1</v>
      </c>
      <c r="C17" s="21">
        <v>1</v>
      </c>
      <c r="D17" s="23" t="s">
        <v>14</v>
      </c>
      <c r="E17" s="24"/>
      <c r="F17" s="25" t="s">
        <v>15</v>
      </c>
      <c r="G17" s="22">
        <v>3500</v>
      </c>
    </row>
    <row r="18" spans="2:7">
      <c r="B18" s="21">
        <v>4</v>
      </c>
      <c r="C18" s="21">
        <v>1</v>
      </c>
      <c r="D18" s="23" t="s">
        <v>16</v>
      </c>
      <c r="E18" s="24"/>
      <c r="F18" s="25" t="s">
        <v>17</v>
      </c>
      <c r="G18" s="22">
        <v>2000</v>
      </c>
    </row>
    <row r="19" spans="2:7">
      <c r="B19" s="21">
        <v>8</v>
      </c>
      <c r="C19" s="21">
        <v>1</v>
      </c>
      <c r="D19" s="23" t="s">
        <v>18</v>
      </c>
      <c r="E19" s="24"/>
      <c r="F19" s="25" t="s">
        <v>19</v>
      </c>
      <c r="G19" s="22">
        <v>2000</v>
      </c>
    </row>
    <row r="20" spans="2:7">
      <c r="B20" s="21">
        <v>1</v>
      </c>
      <c r="C20" s="21">
        <v>1</v>
      </c>
      <c r="D20" s="23" t="s">
        <v>20</v>
      </c>
      <c r="E20" s="24"/>
      <c r="F20" s="25" t="s">
        <v>21</v>
      </c>
      <c r="G20" s="22">
        <v>17500</v>
      </c>
    </row>
    <row r="21" spans="2:7">
      <c r="D21" s="20"/>
      <c r="E21" s="20"/>
      <c r="F21" s="7" t="s">
        <v>9</v>
      </c>
      <c r="G21" s="8">
        <f>SUM(G17:G20)</f>
        <v>25000</v>
      </c>
    </row>
    <row r="22" spans="2:7">
      <c r="F22" s="7" t="s">
        <v>13</v>
      </c>
      <c r="G22" s="9">
        <f>G21*0.15</f>
        <v>3750</v>
      </c>
    </row>
    <row r="23" spans="2:7">
      <c r="F23" s="7" t="s">
        <v>9</v>
      </c>
      <c r="G23" s="9">
        <f>G22+G21</f>
        <v>28750</v>
      </c>
    </row>
    <row r="30" spans="2:7" ht="62.4" customHeight="1"/>
    <row r="32" spans="2:7" ht="27.6" customHeight="1"/>
    <row r="33" spans="2:7" ht="5.4" customHeight="1">
      <c r="B33" s="4"/>
      <c r="C33" s="4"/>
      <c r="D33" s="4"/>
      <c r="E33" s="4"/>
      <c r="F33" s="4"/>
      <c r="G33" s="4"/>
    </row>
    <row r="35" spans="2:7" ht="25.2" customHeight="1"/>
    <row r="42" spans="2:7" ht="21" customHeight="1"/>
    <row r="44" spans="2:7" ht="1.95" customHeight="1"/>
    <row r="45" spans="2:7" ht="7.95" customHeight="1"/>
    <row r="46" spans="2:7" ht="16.05" customHeight="1"/>
    <row r="48" spans="2:7" ht="6" customHeight="1"/>
    <row r="49" ht="9.75" customHeight="1"/>
  </sheetData>
  <mergeCells count="15">
    <mergeCell ref="D21:E21"/>
    <mergeCell ref="D20:E20"/>
    <mergeCell ref="B1:G1"/>
    <mergeCell ref="B12:C12"/>
    <mergeCell ref="B13:C13"/>
    <mergeCell ref="D14:E14"/>
    <mergeCell ref="D12:E12"/>
    <mergeCell ref="F12:G12"/>
    <mergeCell ref="F13:G13"/>
    <mergeCell ref="D13:E13"/>
    <mergeCell ref="D15:E15"/>
    <mergeCell ref="D16:E16"/>
    <mergeCell ref="D18:E18"/>
    <mergeCell ref="D19:E19"/>
    <mergeCell ref="D17:E17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2025-04-23T01:12:48Z</cp:lastPrinted>
  <dcterms:created xsi:type="dcterms:W3CDTF">2022-10-19T19:05:00Z</dcterms:created>
  <dcterms:modified xsi:type="dcterms:W3CDTF">2025-04-23T20:14:34Z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