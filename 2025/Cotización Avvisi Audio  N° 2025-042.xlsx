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0D32EC1-FD96-4EB4-A482-2B8D89E5708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18" i="1"/>
  <c r="H19" i="1"/>
  <c r="H20" i="1"/>
  <c r="H21" i="1"/>
  <c r="H22" i="1"/>
  <c r="H23" i="1"/>
  <c r="H26" i="1"/>
  <c r="H17" i="1"/>
  <c r="H27" i="1" l="1"/>
  <c r="H28" i="1" s="1"/>
  <c r="H29" i="1" l="1"/>
</calcChain>
</file>

<file path=xl/sharedStrings.xml><?xml version="1.0" encoding="utf-8"?>
<sst xmlns="http://schemas.openxmlformats.org/spreadsheetml/2006/main" count="34" uniqueCount="34">
  <si>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</si>
  <si>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</si>
  <si>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</si>
  <si>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</si>
  <si>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</si>
  <si>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</si>
  <si>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</si>
  <si>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</si>
  <si>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</si>
  <si>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</si>
  <si>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</si>
  <si>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</si>
  <si>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</si>
  <si>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</si>
  <si>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</si>
  <si>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</si>
  <si>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</si>
  <si>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Evento Corporativo </t>
  </si>
  <si>
    <t>ISV 15%</t>
  </si>
  <si>
    <t>2025-042</t>
  </si>
  <si>
    <t xml:space="preserve">Tania Ulloa  </t>
  </si>
  <si>
    <t xml:space="preserve">13, 14, y 15 de mayo </t>
  </si>
  <si>
    <t>Tarima 10 x 5 a 0.50cm</t>
  </si>
  <si>
    <t xml:space="preserve">Pantalla led 6 x 4 metros </t>
  </si>
  <si>
    <t xml:space="preserve">Totem led 4 x 3 metros </t>
  </si>
  <si>
    <t xml:space="preserve">Pantalla de 55 para monitor de video </t>
  </si>
  <si>
    <t xml:space="preserve">Sistema de audio para 500 personas </t>
  </si>
  <si>
    <t xml:space="preserve">Luces roboticas </t>
  </si>
  <si>
    <t xml:space="preserve">Luces led para salon </t>
  </si>
  <si>
    <t xml:space="preserve">Tarimas 2.50 x 1.25  </t>
  </si>
  <si>
    <t>Microfonos inalambricos shure sm58</t>
  </si>
  <si>
    <t xml:space="preserve">Microfono cuello de ganzo </t>
  </si>
  <si>
    <t xml:space="preserve">Camara de comercio Industrias de Cortes / San pedro </t>
  </si>
  <si>
    <t>FUNDAAHRSE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</si>
</sst>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2" xfId="0" applyBorder="1"/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3" borderId="5" xfId="2" applyFont="1" applyBorder="1" applyAlignment="1">
      <alignment horizontal="left" vertical="center"/>
    </xf>
    <xf numFmtId="0" fontId="0" fillId="3" borderId="6" xfId="2" applyFont="1" applyBorder="1" applyAlignment="1">
      <alignment horizontal="left" vertical="center"/>
    </xf>
    <xf numFmtId="0" fontId="0" fillId="3" borderId="4" xfId="2" applyFont="1" applyBorder="1" applyAlignment="1">
      <alignment horizontal="left" vertic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948431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0</xdr:colOff>
      <xdr:row>26</xdr:row>
      <xdr:rowOff>105920</xdr:rowOff>
    </xdr:from>
    <xdr:to>
      <xdr:col>8</xdr:col>
      <xdr:colOff>19291</xdr:colOff>
      <xdr:row>36</xdr:row>
      <xdr:rowOff>180774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4329" y="3954502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35</xdr:row>
      <xdr:rowOff>601411</xdr:rowOff>
    </xdr:from>
    <xdr:to>
      <xdr:col>4</xdr:col>
      <xdr:colOff>168596</xdr:colOff>
      <xdr:row>37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35</xdr:row>
      <xdr:rowOff>612567</xdr:rowOff>
    </xdr:from>
    <xdr:to>
      <xdr:col>7</xdr:col>
      <xdr:colOff>991200</xdr:colOff>
      <xdr:row>39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34</xdr:row>
      <xdr:rowOff>152410</xdr:rowOff>
    </xdr:from>
    <xdr:to>
      <xdr:col>4</xdr:col>
      <xdr:colOff>318302</xdr:colOff>
      <xdr:row>37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zoomScale="79" zoomScaleNormal="100" zoomScaleSheetLayoutView="112" zoomScalePageLayoutView="79" workbookViewId="0">
      <selection activeCell="H15" sqref="B1:H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5" t="s">
        <v>12</v>
      </c>
      <c r="I6" s="1"/>
    </row>
    <row r="7" spans="2:9">
      <c r="H7" s="30" t="s">
        <v>19</v>
      </c>
    </row>
    <row r="12" spans="2:9" ht="12.6" customHeight="1">
      <c r="B12" s="22" t="s">
        <v>13</v>
      </c>
      <c r="C12" s="22"/>
      <c r="D12" s="29" t="s">
        <v>33</v>
      </c>
      <c r="E12" s="23"/>
      <c r="F12" t="s">
        <v>11</v>
      </c>
      <c r="G12" s="25" t="s">
        <v>20</v>
      </c>
      <c r="H12" s="25"/>
    </row>
    <row r="13" spans="2:9" ht="14.4" customHeight="1">
      <c r="B13" s="22" t="s">
        <v>0</v>
      </c>
      <c r="C13" s="22"/>
      <c r="D13" s="29" t="s">
        <v>32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14</v>
      </c>
    </row>
    <row r="15" spans="2:9">
      <c r="B15" s="2">
        <v>45687</v>
      </c>
      <c r="C15" s="1" t="s">
        <v>15</v>
      </c>
      <c r="D15" s="31" t="s">
        <v>21</v>
      </c>
      <c r="E15" s="26"/>
      <c r="F15" s="28" t="s">
        <v>17</v>
      </c>
      <c r="G15" s="25"/>
      <c r="H15" s="11"/>
    </row>
    <row r="16" spans="2:9" ht="15.6">
      <c r="B16" s="3" t="s">
        <v>4</v>
      </c>
      <c r="C16" s="3" t="s">
        <v>8</v>
      </c>
      <c r="D16" s="27" t="s">
        <v>5</v>
      </c>
      <c r="E16" s="27"/>
      <c r="F16" s="27"/>
      <c r="G16" s="3" t="s">
        <v>6</v>
      </c>
      <c r="H16" s="3" t="s">
        <v>7</v>
      </c>
    </row>
    <row r="17" spans="2:8">
      <c r="B17" s="9">
        <v>1</v>
      </c>
      <c r="C17" s="9">
        <v>3</v>
      </c>
      <c r="D17" s="16" t="s">
        <v>22</v>
      </c>
      <c r="E17" s="17"/>
      <c r="F17" s="18"/>
      <c r="G17" s="12">
        <v>7500</v>
      </c>
      <c r="H17" s="13">
        <f>G17*B17*C17</f>
        <v>22500</v>
      </c>
    </row>
    <row r="18" spans="2:8">
      <c r="B18" s="9">
        <v>1</v>
      </c>
      <c r="C18" s="9">
        <v>3</v>
      </c>
      <c r="D18" s="16" t="s">
        <v>23</v>
      </c>
      <c r="E18" s="17"/>
      <c r="F18" s="18"/>
      <c r="G18" s="12">
        <v>38000</v>
      </c>
      <c r="H18" s="13">
        <f t="shared" ref="H18:H26" si="0">G18*B18*C18</f>
        <v>114000</v>
      </c>
    </row>
    <row r="19" spans="2:8">
      <c r="B19" s="10">
        <v>2</v>
      </c>
      <c r="C19" s="10">
        <v>3</v>
      </c>
      <c r="D19" s="16" t="s">
        <v>24</v>
      </c>
      <c r="E19" s="17"/>
      <c r="F19" s="18"/>
      <c r="G19" s="14">
        <v>19000</v>
      </c>
      <c r="H19" s="13">
        <f t="shared" si="0"/>
        <v>114000</v>
      </c>
    </row>
    <row r="20" spans="2:8">
      <c r="B20" s="10">
        <v>2</v>
      </c>
      <c r="C20" s="10">
        <v>3</v>
      </c>
      <c r="D20" s="16" t="s">
        <v>25</v>
      </c>
      <c r="E20" s="19"/>
      <c r="F20" s="20"/>
      <c r="G20" s="14">
        <v>1000</v>
      </c>
      <c r="H20" s="13">
        <f t="shared" si="0"/>
        <v>6000</v>
      </c>
    </row>
    <row r="21" spans="2:8">
      <c r="B21" s="10">
        <v>1</v>
      </c>
      <c r="C21" s="10">
        <v>3</v>
      </c>
      <c r="D21" s="16" t="s">
        <v>26</v>
      </c>
      <c r="E21" s="19"/>
      <c r="F21" s="20"/>
      <c r="G21" s="14">
        <v>12000</v>
      </c>
      <c r="H21" s="13">
        <f t="shared" si="0"/>
        <v>36000</v>
      </c>
    </row>
    <row r="22" spans="2:8">
      <c r="B22" s="10">
        <v>6</v>
      </c>
      <c r="C22" s="10">
        <v>3</v>
      </c>
      <c r="D22" s="16" t="s">
        <v>27</v>
      </c>
      <c r="E22" s="19"/>
      <c r="F22" s="20"/>
      <c r="G22" s="14">
        <v>1000</v>
      </c>
      <c r="H22" s="13">
        <f t="shared" si="0"/>
        <v>18000</v>
      </c>
    </row>
    <row r="23" spans="2:8">
      <c r="B23" s="10">
        <v>12</v>
      </c>
      <c r="C23" s="10">
        <v>3</v>
      </c>
      <c r="D23" s="16" t="s">
        <v>28</v>
      </c>
      <c r="E23" s="17"/>
      <c r="F23" s="18"/>
      <c r="G23" s="12">
        <v>300</v>
      </c>
      <c r="H23" s="13">
        <f t="shared" si="0"/>
        <v>10800</v>
      </c>
    </row>
    <row r="24" spans="2:8">
      <c r="B24" s="10">
        <v>2</v>
      </c>
      <c r="C24" s="10">
        <v>3</v>
      </c>
      <c r="D24" s="16" t="s">
        <v>29</v>
      </c>
      <c r="E24" s="19"/>
      <c r="F24" s="20"/>
      <c r="G24" s="12">
        <v>2000</v>
      </c>
      <c r="H24" s="13">
        <f t="shared" si="0"/>
        <v>12000</v>
      </c>
    </row>
    <row r="25" spans="2:8">
      <c r="B25" s="10">
        <v>4</v>
      </c>
      <c r="C25" s="10">
        <v>3</v>
      </c>
      <c r="D25" s="16" t="s">
        <v>30</v>
      </c>
      <c r="E25" s="19"/>
      <c r="F25" s="20"/>
      <c r="G25" s="12">
        <v>500</v>
      </c>
      <c r="H25" s="13">
        <f t="shared" si="0"/>
        <v>6000</v>
      </c>
    </row>
    <row r="26" spans="2:8">
      <c r="B26" s="10">
        <v>1</v>
      </c>
      <c r="C26" s="10">
        <v>3</v>
      </c>
      <c r="D26" s="32" t="s">
        <v>31</v>
      </c>
      <c r="E26" s="33"/>
      <c r="F26" s="34"/>
      <c r="G26" s="12">
        <v>500</v>
      </c>
      <c r="H26" s="13">
        <f t="shared" si="0"/>
        <v>1500</v>
      </c>
    </row>
    <row r="27" spans="2:8">
      <c r="D27" s="15"/>
      <c r="E27" s="15"/>
      <c r="F27" s="15"/>
      <c r="G27" s="6" t="s">
        <v>9</v>
      </c>
      <c r="H27" s="7">
        <f>SUM(H17:H26)</f>
        <v>340800</v>
      </c>
    </row>
    <row r="28" spans="2:8">
      <c r="G28" s="6" t="s">
        <v>18</v>
      </c>
      <c r="H28" s="8">
        <f>H27*0.15</f>
        <v>51120</v>
      </c>
    </row>
    <row r="29" spans="2:8">
      <c r="G29" s="6" t="s">
        <v>16</v>
      </c>
      <c r="H29" s="8">
        <f>H28+H27</f>
        <v>391920</v>
      </c>
    </row>
    <row r="35" spans="2:8" ht="31.8" customHeight="1"/>
    <row r="36" spans="2:8" ht="73.8" customHeight="1"/>
    <row r="38" spans="2:8" ht="27.6" customHeight="1"/>
    <row r="39" spans="2:8" ht="5.4" customHeight="1">
      <c r="B39" s="4"/>
      <c r="C39" s="4"/>
      <c r="D39" s="4"/>
      <c r="E39" s="4"/>
      <c r="F39" s="4"/>
      <c r="G39" s="4"/>
      <c r="H39" s="4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25:F25"/>
    <mergeCell ref="D18:F18"/>
    <mergeCell ref="D20:F20"/>
    <mergeCell ref="D21:F21"/>
    <mergeCell ref="D22:F22"/>
    <mergeCell ref="D24:F24"/>
    <mergeCell ref="D27:F27"/>
    <mergeCell ref="D23:F23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2025-01-29T16:55:30Z</cp:lastPrinted>
  <dcterms:created xsi:type="dcterms:W3CDTF">2022-10-19T19:05:00Z</dcterms:created>
  <dcterms:modified xsi:type="dcterms:W3CDTF">2025-01-30T15:52:31Z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