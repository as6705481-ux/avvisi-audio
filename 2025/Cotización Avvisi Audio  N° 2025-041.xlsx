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B9DF722-EB96-48E6-9CCE-EA3DF98C87C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18" i="1"/>
  <c r="H22" i="1" l="1"/>
  <c r="H23" i="1" s="1"/>
  <c r="H24" i="1" l="1"/>
</calcChain>
</file>

<file path=xl/sharedStrings.xml><?xml version="1.0" encoding="utf-8"?>
<sst xmlns="http://schemas.openxmlformats.org/spreadsheetml/2006/main" count="29" uniqueCount="29">
  <si>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</si>
  <si>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</si>
  <si>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</si>
  <si>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</si>
  <si>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</si>
  <si>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</si>
  <si>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</si>
  <si>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</si>
  <si>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</si>
  <si>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</si>
  <si>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</si>
  <si>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</si>
  <si>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</si>
  <si>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</si>
  <si>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</si>
  <si>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</si>
  <si>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</si>
  <si>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Audio profesional </t>
  </si>
  <si>
    <t xml:space="preserve">Honduras </t>
  </si>
  <si>
    <t xml:space="preserve">Evento Corporativo </t>
  </si>
  <si>
    <t xml:space="preserve">Carlos Cruz </t>
  </si>
  <si>
    <t>ISV 15%</t>
  </si>
  <si>
    <t>Rap</t>
  </si>
  <si>
    <t>0801 900 323 8913</t>
  </si>
  <si>
    <t xml:space="preserve">micrófonos inalambricos </t>
  </si>
  <si>
    <t xml:space="preserve">consola de audio </t>
  </si>
  <si>
    <t>laptop para equipo</t>
  </si>
  <si>
    <t>técnico permanente</t>
  </si>
  <si>
    <t>2025-041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</si>
</sst>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27</xdr:row>
      <xdr:rowOff>83925</xdr:rowOff>
    </xdr:from>
    <xdr:to>
      <xdr:col>1</xdr:col>
      <xdr:colOff>113617</xdr:colOff>
      <xdr:row>29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032102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21</xdr:row>
      <xdr:rowOff>105920</xdr:rowOff>
    </xdr:from>
    <xdr:to>
      <xdr:col>8</xdr:col>
      <xdr:colOff>19291</xdr:colOff>
      <xdr:row>31</xdr:row>
      <xdr:rowOff>180774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3954502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30</xdr:row>
      <xdr:rowOff>601411</xdr:rowOff>
    </xdr:from>
    <xdr:to>
      <xdr:col>4</xdr:col>
      <xdr:colOff>168596</xdr:colOff>
      <xdr:row>32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30</xdr:row>
      <xdr:rowOff>612567</xdr:rowOff>
    </xdr:from>
    <xdr:to>
      <xdr:col>7</xdr:col>
      <xdr:colOff>991200</xdr:colOff>
      <xdr:row>34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29</xdr:row>
      <xdr:rowOff>152410</xdr:rowOff>
    </xdr:from>
    <xdr:to>
      <xdr:col>4</xdr:col>
      <xdr:colOff>318302</xdr:colOff>
      <xdr:row>32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view="pageLayout" zoomScale="79" zoomScaleNormal="100" zoomScaleSheetLayoutView="112" zoomScalePageLayoutView="79" workbookViewId="0">
      <selection activeCell="N20" sqref="N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5" t="s">
        <v>12</v>
      </c>
      <c r="I6" s="1"/>
    </row>
    <row r="7" spans="2:9">
      <c r="H7" s="31" t="s">
        <v>28</v>
      </c>
    </row>
    <row r="12" spans="2:9" ht="12.6" customHeight="1">
      <c r="B12" s="24" t="s">
        <v>13</v>
      </c>
      <c r="C12" s="24"/>
      <c r="D12" s="32" t="s">
        <v>22</v>
      </c>
      <c r="E12" s="26"/>
      <c r="F12" t="s">
        <v>11</v>
      </c>
      <c r="G12" s="22" t="s">
        <v>20</v>
      </c>
      <c r="H12" s="22"/>
    </row>
    <row r="13" spans="2:9" ht="14.4" customHeight="1">
      <c r="B13" s="24" t="s">
        <v>0</v>
      </c>
      <c r="C13" s="24"/>
      <c r="D13" s="25" t="s">
        <v>18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14</v>
      </c>
    </row>
    <row r="15" spans="2:9">
      <c r="B15" s="2">
        <v>45686</v>
      </c>
      <c r="C15" s="1" t="s">
        <v>15</v>
      </c>
      <c r="D15" s="15">
        <v>45687</v>
      </c>
      <c r="E15" s="16"/>
      <c r="F15" s="21" t="s">
        <v>19</v>
      </c>
      <c r="G15" s="22"/>
      <c r="H15" s="11" t="s">
        <v>23</v>
      </c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8" t="s">
        <v>17</v>
      </c>
      <c r="E17" s="19"/>
      <c r="F17" s="20"/>
      <c r="G17" s="12">
        <v>2500</v>
      </c>
      <c r="H17" s="13">
        <f>G17</f>
        <v>2500</v>
      </c>
    </row>
    <row r="18" spans="2:8">
      <c r="B18" s="9">
        <v>2</v>
      </c>
      <c r="C18" s="9">
        <v>1</v>
      </c>
      <c r="D18" s="18" t="s">
        <v>24</v>
      </c>
      <c r="E18" s="19"/>
      <c r="F18" s="20"/>
      <c r="G18" s="12">
        <v>250</v>
      </c>
      <c r="H18" s="13">
        <f>G18*B18</f>
        <v>500</v>
      </c>
    </row>
    <row r="19" spans="2:8">
      <c r="B19" s="10">
        <v>1</v>
      </c>
      <c r="C19" s="10">
        <v>1</v>
      </c>
      <c r="D19" s="18" t="s">
        <v>25</v>
      </c>
      <c r="E19" s="19"/>
      <c r="F19" s="20"/>
      <c r="G19" s="14">
        <v>250</v>
      </c>
      <c r="H19" s="13">
        <f t="shared" ref="H19:H21" si="0">G19*B19</f>
        <v>250</v>
      </c>
    </row>
    <row r="20" spans="2:8">
      <c r="B20" s="10">
        <v>1</v>
      </c>
      <c r="C20" s="10">
        <v>1</v>
      </c>
      <c r="D20" s="18" t="s">
        <v>26</v>
      </c>
      <c r="E20" s="19"/>
      <c r="F20" s="20"/>
      <c r="G20" s="12">
        <v>250</v>
      </c>
      <c r="H20" s="13">
        <f t="shared" si="0"/>
        <v>250</v>
      </c>
    </row>
    <row r="21" spans="2:8">
      <c r="B21" s="10">
        <v>1</v>
      </c>
      <c r="C21" s="10">
        <v>1</v>
      </c>
      <c r="D21" s="18" t="s">
        <v>27</v>
      </c>
      <c r="E21" s="29"/>
      <c r="F21" s="30"/>
      <c r="G21" s="12">
        <v>1000</v>
      </c>
      <c r="H21" s="13">
        <f t="shared" si="0"/>
        <v>1000</v>
      </c>
    </row>
    <row r="22" spans="2:8">
      <c r="D22" s="28"/>
      <c r="E22" s="28"/>
      <c r="F22" s="28"/>
      <c r="G22" s="6" t="s">
        <v>9</v>
      </c>
      <c r="H22" s="7">
        <f>SUM(H17:H21)</f>
        <v>4500</v>
      </c>
    </row>
    <row r="23" spans="2:8">
      <c r="G23" s="6" t="s">
        <v>21</v>
      </c>
      <c r="H23" s="8">
        <f>H22*0.15</f>
        <v>675</v>
      </c>
    </row>
    <row r="24" spans="2:8">
      <c r="G24" s="6" t="s">
        <v>16</v>
      </c>
      <c r="H24" s="8">
        <f>H23+H22</f>
        <v>5175</v>
      </c>
    </row>
    <row r="30" spans="2:8" ht="31.8" customHeight="1"/>
    <row r="31" spans="2:8" ht="73.8" customHeight="1"/>
    <row r="33" spans="2:8" ht="27.6" customHeight="1"/>
    <row r="34" spans="2:8" ht="5.4" customHeight="1">
      <c r="B34" s="4"/>
      <c r="C34" s="4"/>
      <c r="D34" s="4"/>
      <c r="E34" s="4"/>
      <c r="F34" s="4"/>
      <c r="G34" s="4"/>
      <c r="H34" s="4"/>
    </row>
    <row r="36" spans="2:8" ht="25.2" customHeight="1"/>
    <row r="43" spans="2:8" ht="21" customHeight="1"/>
    <row r="45" spans="2:8" ht="1.95" customHeight="1"/>
    <row r="46" spans="2:8" ht="7.95" customHeight="1"/>
    <row r="47" spans="2:8" ht="16.05" customHeight="1"/>
    <row r="49" ht="6" customHeight="1"/>
    <row r="50" ht="9.75" customHeight="1"/>
  </sheetData>
  <mergeCells count="17">
    <mergeCell ref="D22:F22"/>
    <mergeCell ref="D20:F20"/>
    <mergeCell ref="D21:F2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2025-01-29T16:55:30Z</cp:lastPrinted>
  <dcterms:created xsi:type="dcterms:W3CDTF">2022-10-19T19:05:00Z</dcterms:created>
  <dcterms:modified xsi:type="dcterms:W3CDTF">2025-01-29T17:36:50Z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