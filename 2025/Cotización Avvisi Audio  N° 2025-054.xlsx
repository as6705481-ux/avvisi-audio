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6AB4337E-CD18-414E-908C-E86582E2ED4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17" i="1"/>
  <c r="H18" i="1"/>
  <c r="H19" i="1"/>
  <c r="H20" i="1"/>
  <c r="H25" i="1" l="1"/>
  <c r="H26" i="1" s="1"/>
  <c r="H27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<sst xmlns="http://schemas.openxmlformats.org/spreadsheetml/2006/main" count="29" uniqueCount="28">
  <si>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</si>
  <si>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</si>
  <si>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</si>
  <si>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</si>
  <si>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</si>
  <si>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</si>
  <si>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</si>
  <si>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</si>
  <si>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</si>
  <si>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</si>
  <si>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</si>
  <si>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</si>
  <si>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</si>
  <si>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</si>
  <si>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</si>
  <si>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</si>
  <si>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Grupo Q </t>
  </si>
  <si>
    <t xml:space="preserve">Eufemio Martinez </t>
  </si>
  <si>
    <t>Lago de Yojoa</t>
  </si>
  <si>
    <t>2025-053</t>
  </si>
  <si>
    <t xml:space="preserve">Evento de Marca </t>
  </si>
  <si>
    <t xml:space="preserve">15 de Febrero </t>
  </si>
  <si>
    <t xml:space="preserve">Pantalla led 4 x 2 metros </t>
  </si>
  <si>
    <t xml:space="preserve">Totems led 2 x 1 </t>
  </si>
  <si>
    <t>Sistema de audio profesional para 160p</t>
  </si>
  <si>
    <t xml:space="preserve">Tarima negra 6.25 x 2.50 </t>
  </si>
  <si>
    <t xml:space="preserve">Trasporte </t>
  </si>
  <si>
    <t xml:space="preserve">Biaticos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</si>
</sst>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44" fontId="7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44" fontId="7" fillId="3" borderId="3" xfId="3" applyFill="1" applyBorder="1" applyAlignment="1"/>
    <xf numFmtId="0" fontId="0" fillId="0" borderId="2" xfId="0" applyBorder="1"/>
    <xf numFmtId="0" fontId="7" fillId="3" borderId="5" xfId="2" applyBorder="1" applyAlignment="1">
      <alignment horizontal="center"/>
    </xf>
    <xf numFmtId="0" fontId="7" fillId="3" borderId="6" xfId="2" applyBorder="1" applyAlignment="1">
      <alignment horizontal="center"/>
    </xf>
    <xf numFmtId="0" fontId="7" fillId="3" borderId="4" xfId="2" applyBorder="1" applyAlignment="1">
      <alignment horizontal="center"/>
    </xf>
    <xf numFmtId="0" fontId="0" fillId="3" borderId="5" xfId="2" applyFont="1" applyBorder="1" applyAlignment="1">
      <alignment horizontal="left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5" xfId="2" applyFont="1" applyBorder="1" applyAlignment="1"/>
    <xf numFmtId="0" fontId="7" fillId="3" borderId="6" xfId="2" applyBorder="1" applyAlignment="1"/>
    <xf numFmtId="0" fontId="7" fillId="3" borderId="4" xfId="2" applyBorder="1" applyAlignment="1"/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44" fontId="7" fillId="3" borderId="3" xfId="3" applyFill="1" applyBorder="1" applyAlignment="1">
      <alignment horizontal="right" vertic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62444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24</xdr:row>
      <xdr:rowOff>163794</xdr:rowOff>
    </xdr:from>
    <xdr:to>
      <xdr:col>6</xdr:col>
      <xdr:colOff>783365</xdr:colOff>
      <xdr:row>35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628779</xdr:colOff>
      <xdr:row>37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5" zoomScale="107" zoomScaleNormal="100" zoomScaleSheetLayoutView="112" zoomScalePageLayoutView="107" workbookViewId="0">
      <selection activeCell="B23" sqref="B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6" t="s">
        <v>12</v>
      </c>
      <c r="I6" s="1"/>
    </row>
    <row r="7" spans="2:9">
      <c r="H7" s="33" t="s">
        <v>19</v>
      </c>
    </row>
    <row r="12" spans="2:9" ht="12.6" customHeight="1">
      <c r="B12" s="22" t="s">
        <v>14</v>
      </c>
      <c r="C12" s="22"/>
      <c r="D12" s="26" t="s">
        <v>16</v>
      </c>
      <c r="E12" s="24"/>
      <c r="F12" t="s">
        <v>11</v>
      </c>
      <c r="G12" s="27" t="s">
        <v>17</v>
      </c>
      <c r="H12" s="27"/>
    </row>
    <row r="13" spans="2:9" ht="14.4" customHeight="1">
      <c r="B13" s="22" t="s">
        <v>0</v>
      </c>
      <c r="C13" s="22"/>
      <c r="D13" s="23" t="s">
        <v>18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13</v>
      </c>
    </row>
    <row r="15" spans="2:9">
      <c r="B15" s="2">
        <v>45693</v>
      </c>
      <c r="C15" s="1"/>
      <c r="D15" s="35" t="s">
        <v>21</v>
      </c>
      <c r="E15" s="31"/>
      <c r="F15" s="34" t="s">
        <v>20</v>
      </c>
      <c r="G15" s="27"/>
      <c r="H15" s="5"/>
    </row>
    <row r="16" spans="2:9" ht="15.6">
      <c r="B16" s="3" t="s">
        <v>4</v>
      </c>
      <c r="C16" s="3" t="s">
        <v>8</v>
      </c>
      <c r="D16" s="32" t="s">
        <v>5</v>
      </c>
      <c r="E16" s="32"/>
      <c r="F16" s="32"/>
      <c r="G16" s="3" t="s">
        <v>6</v>
      </c>
      <c r="H16" s="3" t="s">
        <v>7</v>
      </c>
    </row>
    <row r="17" spans="2:8">
      <c r="B17" s="11">
        <v>1</v>
      </c>
      <c r="C17" s="11">
        <v>1</v>
      </c>
      <c r="D17" s="18" t="s">
        <v>22</v>
      </c>
      <c r="E17" s="19"/>
      <c r="F17" s="20"/>
      <c r="G17" s="13">
        <v>15000</v>
      </c>
      <c r="H17" s="13">
        <f>G17*C17*B17</f>
        <v>15000</v>
      </c>
    </row>
    <row r="18" spans="2:8">
      <c r="B18" s="11">
        <v>2</v>
      </c>
      <c r="C18" s="11">
        <v>1</v>
      </c>
      <c r="D18" s="18" t="s">
        <v>23</v>
      </c>
      <c r="E18" s="19"/>
      <c r="F18" s="20"/>
      <c r="G18" s="13">
        <v>3000</v>
      </c>
      <c r="H18" s="13">
        <f t="shared" ref="H18:H24" si="0">G18*C18*B18</f>
        <v>6000</v>
      </c>
    </row>
    <row r="19" spans="2:8">
      <c r="B19" s="12">
        <v>1</v>
      </c>
      <c r="C19" s="12">
        <v>1</v>
      </c>
      <c r="D19" s="18" t="s">
        <v>24</v>
      </c>
      <c r="E19" s="19"/>
      <c r="F19" s="20"/>
      <c r="G19" s="13">
        <v>7000</v>
      </c>
      <c r="H19" s="13">
        <f t="shared" si="0"/>
        <v>7000</v>
      </c>
    </row>
    <row r="20" spans="2:8">
      <c r="B20" s="12">
        <v>1</v>
      </c>
      <c r="C20" s="12">
        <v>1</v>
      </c>
      <c r="D20" s="28" t="s">
        <v>25</v>
      </c>
      <c r="E20" s="29"/>
      <c r="F20" s="30"/>
      <c r="G20" s="36">
        <v>4700</v>
      </c>
      <c r="H20" s="13">
        <f t="shared" si="0"/>
        <v>4700</v>
      </c>
    </row>
    <row r="21" spans="2:8">
      <c r="B21" s="12">
        <v>1</v>
      </c>
      <c r="C21" s="12">
        <v>1</v>
      </c>
      <c r="D21" s="18" t="s">
        <v>26</v>
      </c>
      <c r="E21" s="19"/>
      <c r="F21" s="20"/>
      <c r="G21" s="13">
        <v>3500</v>
      </c>
      <c r="H21" s="13">
        <f t="shared" si="0"/>
        <v>3500</v>
      </c>
    </row>
    <row r="22" spans="2:8">
      <c r="B22" s="12">
        <v>1</v>
      </c>
      <c r="C22" s="12">
        <v>1</v>
      </c>
      <c r="D22" s="18" t="s">
        <v>27</v>
      </c>
      <c r="E22" s="19"/>
      <c r="F22" s="20"/>
      <c r="G22" s="13">
        <v>3000</v>
      </c>
      <c r="H22" s="13">
        <f t="shared" si="0"/>
        <v>3000</v>
      </c>
    </row>
    <row r="23" spans="2:8">
      <c r="B23" s="10"/>
      <c r="C23" s="10"/>
      <c r="D23" s="15"/>
      <c r="E23" s="16"/>
      <c r="F23" s="17"/>
      <c r="G23" s="13"/>
      <c r="H23" s="13">
        <f t="shared" si="0"/>
        <v>0</v>
      </c>
    </row>
    <row r="24" spans="2:8">
      <c r="B24" s="10"/>
      <c r="C24" s="10"/>
      <c r="D24" s="15"/>
      <c r="E24" s="16"/>
      <c r="F24" s="17"/>
      <c r="G24" s="13"/>
      <c r="H24" s="13">
        <f t="shared" si="0"/>
        <v>0</v>
      </c>
    </row>
    <row r="25" spans="2:8">
      <c r="D25" s="14"/>
      <c r="E25" s="14"/>
      <c r="F25" s="14"/>
      <c r="G25" s="7" t="s">
        <v>9</v>
      </c>
      <c r="H25" s="8">
        <f>SUM(H17:H24)</f>
        <v>39200</v>
      </c>
    </row>
    <row r="26" spans="2:8">
      <c r="G26" s="7" t="s">
        <v>15</v>
      </c>
      <c r="H26" s="9">
        <f>H25*0.15</f>
        <v>5880</v>
      </c>
    </row>
    <row r="27" spans="2:8">
      <c r="G27" s="7" t="s">
        <v>9</v>
      </c>
      <c r="H27" s="9">
        <f>H26+H25</f>
        <v>45080</v>
      </c>
    </row>
    <row r="34" spans="2:8" ht="62.4" customHeight="1"/>
    <row r="36" spans="2:8" ht="27.6" customHeight="1"/>
    <row r="37" spans="2:8" ht="5.4" customHeight="1">
      <c r="B37" s="4"/>
      <c r="C37" s="4"/>
      <c r="D37" s="4"/>
      <c r="E37" s="4"/>
      <c r="F37" s="4"/>
      <c r="G37" s="4"/>
      <c r="H37" s="4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0">
    <mergeCell ref="D20:F20"/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5:F25"/>
    <mergeCell ref="D24:F24"/>
    <mergeCell ref="D23:F23"/>
    <mergeCell ref="D21:F21"/>
    <mergeCell ref="D22:F22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2025-02-03T06:29:43Z</cp:lastPrinted>
  <dcterms:created xsi:type="dcterms:W3CDTF">2022-10-19T19:05:00Z</dcterms:created>
  <dcterms:modified xsi:type="dcterms:W3CDTF">2025-02-05T22:57:00Z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