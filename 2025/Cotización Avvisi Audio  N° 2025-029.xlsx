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4EE2B005-8776-42FF-8E92-71CDE5CCAEB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21" i="1"/>
  <c r="H22" i="1"/>
  <c r="H23" i="1"/>
  <c r="H24" i="1"/>
  <c r="H25" i="1"/>
  <c r="H26" i="1"/>
  <c r="H27" i="1"/>
  <c r="H19" i="1"/>
  <c r="H18" i="1"/>
  <c r="H17" i="1"/>
  <c r="H28" i="1" l="1"/>
  <c r="H29" i="1" l="1"/>
  <c r="H30" i="1" s="1"/>
</calcChain>
</file>

<file path=xl/sharedStrings.xml><?xml version="1.0" encoding="utf-8"?>
<sst xmlns="http://schemas.openxmlformats.org/spreadsheetml/2006/main" count="34" uniqueCount="33">
  <si>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</si>
  <si>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</si>
  <si>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</si>
  <si>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</si>
  <si>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</si>
  <si>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</si>
  <si>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</si>
  <si>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</si>
  <si>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</si>
  <si>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</si>
  <si>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</si>
  <si>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</si>
  <si>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</si>
  <si>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</si>
  <si>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ISV 15 %</t>
  </si>
  <si>
    <t xml:space="preserve">Evento corporativo </t>
  </si>
  <si>
    <t xml:space="preserve">Iberoasistencia </t>
  </si>
  <si>
    <t>RTN</t>
  </si>
  <si>
    <t>27 de Febrero 2025</t>
  </si>
  <si>
    <t>1 dia</t>
  </si>
  <si>
    <t xml:space="preserve">Tania Ulloa Galeano  </t>
  </si>
  <si>
    <t>2025-029</t>
  </si>
  <si>
    <t xml:space="preserve">Consola de audio 10 canales </t>
  </si>
  <si>
    <t xml:space="preserve">Laptop para audio </t>
  </si>
  <si>
    <t xml:space="preserve">Microfono de diadema </t>
  </si>
  <si>
    <t>Microfonos inalambricos SM58</t>
  </si>
  <si>
    <t xml:space="preserve">Luces led 54 </t>
  </si>
  <si>
    <t xml:space="preserve">Pantalla led 4 x 2.5 </t>
  </si>
  <si>
    <t>Personal tecnico y de staff</t>
  </si>
  <si>
    <t xml:space="preserve">Traslado , pre montaje , montaje y desmontaje </t>
  </si>
  <si>
    <t>Monutor de video pantalla de 55</t>
  </si>
  <si>
    <t>Parlantes Corporativo tipo barra ( 60 personas )</t>
  </si>
  <si>
    <t>Zamorano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</si>
</sst>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  <xf numFmtId="44" fontId="7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7" fillId="3" borderId="3" xfId="2" applyBorder="1" applyAlignment="1">
      <alignment horizontal="center" vertical="center"/>
    </xf>
    <xf numFmtId="0" fontId="7" fillId="3" borderId="3" xfId="2" applyBorder="1" applyAlignment="1">
      <alignment horizontal="center"/>
    </xf>
    <xf numFmtId="44" fontId="7" fillId="3" borderId="3" xfId="3" applyFill="1" applyBorder="1" applyAlignment="1">
      <alignment vertical="center"/>
    </xf>
    <xf numFmtId="44" fontId="7" fillId="3" borderId="3" xfId="3" applyFill="1" applyBorder="1" applyAlignment="1"/>
    <xf numFmtId="0" fontId="2" fillId="0" borderId="7" xfId="0" applyFont="1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0" fontId="0" fillId="3" borderId="5" xfId="2" applyFont="1" applyBorder="1" applyAlignment="1"/>
    <xf numFmtId="0" fontId="7" fillId="3" borderId="6" xfId="2" applyBorder="1" applyAlignment="1"/>
    <xf numFmtId="0" fontId="7" fillId="3" borderId="4" xfId="2" applyBorder="1" applyAlignment="1"/>
    <xf numFmtId="0" fontId="0" fillId="0" borderId="2" xfId="0" applyBorder="1"/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7" fillId="3" borderId="6" xfId="2" applyBorder="1" applyAlignment="1">
      <alignment horizontal="left"/>
    </xf>
    <xf numFmtId="0" fontId="7" fillId="3" borderId="4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33</xdr:row>
      <xdr:rowOff>83925</xdr:rowOff>
    </xdr:from>
    <xdr:to>
      <xdr:col>1</xdr:col>
      <xdr:colOff>113617</xdr:colOff>
      <xdr:row>35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159" y="6038523"/>
          <a:ext cx="50716" cy="327240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5054"/>
          <a:ext cx="6631092" cy="1303534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27</xdr:row>
      <xdr:rowOff>163794</xdr:rowOff>
    </xdr:from>
    <xdr:to>
      <xdr:col>7</xdr:col>
      <xdr:colOff>1032075</xdr:colOff>
      <xdr:row>38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111971"/>
          <a:ext cx="6713316" cy="2881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36</xdr:row>
      <xdr:rowOff>601411</xdr:rowOff>
    </xdr:from>
    <xdr:to>
      <xdr:col>4</xdr:col>
      <xdr:colOff>168596</xdr:colOff>
      <xdr:row>38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Tania Ada Ulloa Galeano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36</xdr:row>
      <xdr:rowOff>612567</xdr:rowOff>
    </xdr:from>
    <xdr:to>
      <xdr:col>7</xdr:col>
      <xdr:colOff>991200</xdr:colOff>
      <xdr:row>40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6"/>
  <sheetViews>
    <sheetView tabSelected="1" view="pageLayout" zoomScale="97" zoomScaleNormal="100" zoomScaleSheetLayoutView="112" zoomScalePageLayoutView="97" workbookViewId="0">
      <selection activeCell="D13" sqref="D13:G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5" t="s">
        <v>12</v>
      </c>
      <c r="I6" s="1"/>
    </row>
    <row r="7" spans="2:9">
      <c r="H7" s="13" t="s">
        <v>21</v>
      </c>
    </row>
    <row r="12" spans="2:9" ht="12.6" customHeight="1">
      <c r="B12" s="25" t="s">
        <v>13</v>
      </c>
      <c r="C12" s="25"/>
      <c r="D12" s="26" t="s">
        <v>16</v>
      </c>
      <c r="E12" s="27"/>
      <c r="F12" t="s">
        <v>11</v>
      </c>
      <c r="G12" s="29" t="s">
        <v>20</v>
      </c>
      <c r="H12" s="29"/>
    </row>
    <row r="13" spans="2:9" ht="14.4" customHeight="1">
      <c r="B13" s="25" t="s">
        <v>0</v>
      </c>
      <c r="C13" s="25"/>
      <c r="D13" s="34" t="s">
        <v>32</v>
      </c>
      <c r="E13" s="27"/>
      <c r="F13" s="27"/>
      <c r="G13" s="27"/>
    </row>
    <row r="14" spans="2:9">
      <c r="B14" s="1" t="s">
        <v>1</v>
      </c>
      <c r="C14" s="1" t="s">
        <v>2</v>
      </c>
      <c r="D14" s="28" t="s">
        <v>3</v>
      </c>
      <c r="E14" s="28"/>
      <c r="F14" s="28" t="s">
        <v>10</v>
      </c>
      <c r="G14" s="28"/>
      <c r="H14" s="1" t="s">
        <v>17</v>
      </c>
    </row>
    <row r="15" spans="2:9">
      <c r="B15" s="2">
        <v>45684</v>
      </c>
      <c r="C15" s="1" t="s">
        <v>19</v>
      </c>
      <c r="D15" s="30" t="s">
        <v>18</v>
      </c>
      <c r="E15" s="31"/>
      <c r="F15" s="33" t="s">
        <v>15</v>
      </c>
      <c r="G15" s="29"/>
      <c r="H15" s="14">
        <v>8019003238270</v>
      </c>
    </row>
    <row r="16" spans="2:9" ht="15.6">
      <c r="B16" s="3" t="s">
        <v>4</v>
      </c>
      <c r="C16" s="3" t="s">
        <v>8</v>
      </c>
      <c r="D16" s="32" t="s">
        <v>5</v>
      </c>
      <c r="E16" s="32"/>
      <c r="F16" s="32"/>
      <c r="G16" s="3" t="s">
        <v>6</v>
      </c>
      <c r="H16" s="3" t="s">
        <v>7</v>
      </c>
    </row>
    <row r="17" spans="2:8">
      <c r="B17" s="9">
        <v>2</v>
      </c>
      <c r="C17" s="9">
        <v>1</v>
      </c>
      <c r="D17" s="19" t="s">
        <v>31</v>
      </c>
      <c r="E17" s="22"/>
      <c r="F17" s="23"/>
      <c r="G17" s="12">
        <v>1500</v>
      </c>
      <c r="H17" s="11">
        <f>G17*B17*C17</f>
        <v>3000</v>
      </c>
    </row>
    <row r="18" spans="2:8">
      <c r="B18" s="9">
        <v>1</v>
      </c>
      <c r="C18" s="9">
        <v>1</v>
      </c>
      <c r="D18" s="19" t="s">
        <v>22</v>
      </c>
      <c r="E18" s="22"/>
      <c r="F18" s="23"/>
      <c r="G18" s="12">
        <v>1000</v>
      </c>
      <c r="H18" s="11">
        <f>G18*B18*C18</f>
        <v>1000</v>
      </c>
    </row>
    <row r="19" spans="2:8">
      <c r="B19" s="10">
        <v>1</v>
      </c>
      <c r="C19" s="10">
        <v>1</v>
      </c>
      <c r="D19" s="19" t="s">
        <v>23</v>
      </c>
      <c r="E19" s="22"/>
      <c r="F19" s="23"/>
      <c r="G19" s="12">
        <v>500</v>
      </c>
      <c r="H19" s="11">
        <f>G19*B19*C19</f>
        <v>500</v>
      </c>
    </row>
    <row r="20" spans="2:8">
      <c r="B20" s="10">
        <v>2</v>
      </c>
      <c r="C20" s="10">
        <v>1</v>
      </c>
      <c r="D20" s="15" t="s">
        <v>24</v>
      </c>
      <c r="E20" s="16"/>
      <c r="F20" s="17"/>
      <c r="G20" s="12">
        <v>500</v>
      </c>
      <c r="H20" s="11">
        <f t="shared" ref="H20:H27" si="0">G20*B20*C20</f>
        <v>1000</v>
      </c>
    </row>
    <row r="21" spans="2:8">
      <c r="B21" s="10">
        <v>2</v>
      </c>
      <c r="C21" s="10">
        <v>1</v>
      </c>
      <c r="D21" s="19" t="s">
        <v>25</v>
      </c>
      <c r="E21" s="22"/>
      <c r="F21" s="23"/>
      <c r="G21" s="12">
        <v>500</v>
      </c>
      <c r="H21" s="11">
        <f t="shared" si="0"/>
        <v>1000</v>
      </c>
    </row>
    <row r="22" spans="2:8">
      <c r="B22" s="10">
        <v>8</v>
      </c>
      <c r="C22" s="10">
        <v>1</v>
      </c>
      <c r="D22" s="19" t="s">
        <v>26</v>
      </c>
      <c r="E22" s="22"/>
      <c r="F22" s="23"/>
      <c r="G22" s="12">
        <v>150</v>
      </c>
      <c r="H22" s="11">
        <f t="shared" si="0"/>
        <v>1200</v>
      </c>
    </row>
    <row r="23" spans="2:8">
      <c r="B23" s="10">
        <v>1</v>
      </c>
      <c r="C23" s="10">
        <v>1</v>
      </c>
      <c r="D23" s="19" t="s">
        <v>27</v>
      </c>
      <c r="E23" s="22"/>
      <c r="F23" s="23"/>
      <c r="G23" s="12">
        <v>16000</v>
      </c>
      <c r="H23" s="11">
        <f t="shared" si="0"/>
        <v>16000</v>
      </c>
    </row>
    <row r="24" spans="2:8">
      <c r="B24" s="10">
        <v>3</v>
      </c>
      <c r="C24" s="10">
        <v>1</v>
      </c>
      <c r="D24" s="19" t="s">
        <v>28</v>
      </c>
      <c r="E24" s="20"/>
      <c r="F24" s="21"/>
      <c r="G24" s="12">
        <v>1000</v>
      </c>
      <c r="H24" s="11">
        <f t="shared" si="0"/>
        <v>3000</v>
      </c>
    </row>
    <row r="25" spans="2:8">
      <c r="B25" s="10">
        <v>1</v>
      </c>
      <c r="C25" s="10">
        <v>1</v>
      </c>
      <c r="D25" s="19" t="s">
        <v>29</v>
      </c>
      <c r="E25" s="20"/>
      <c r="F25" s="21"/>
      <c r="G25" s="12">
        <v>2500</v>
      </c>
      <c r="H25" s="11">
        <f t="shared" si="0"/>
        <v>2500</v>
      </c>
    </row>
    <row r="26" spans="2:8">
      <c r="B26" s="9">
        <v>1</v>
      </c>
      <c r="C26" s="9">
        <v>1</v>
      </c>
      <c r="D26" s="19" t="s">
        <v>30</v>
      </c>
      <c r="E26" s="20"/>
      <c r="F26" s="21"/>
      <c r="G26" s="12">
        <v>1000</v>
      </c>
      <c r="H26" s="11">
        <f t="shared" si="0"/>
        <v>1000</v>
      </c>
    </row>
    <row r="27" spans="2:8">
      <c r="B27" s="9"/>
      <c r="C27" s="9"/>
      <c r="D27" s="19"/>
      <c r="E27" s="20"/>
      <c r="F27" s="21"/>
      <c r="G27" s="12"/>
      <c r="H27" s="11">
        <f t="shared" si="0"/>
        <v>0</v>
      </c>
    </row>
    <row r="28" spans="2:8">
      <c r="D28" s="18"/>
      <c r="E28" s="18"/>
      <c r="F28" s="18"/>
      <c r="G28" s="6" t="s">
        <v>9</v>
      </c>
      <c r="H28" s="7">
        <f>SUM(H17:H27)</f>
        <v>30200</v>
      </c>
    </row>
    <row r="29" spans="2:8">
      <c r="G29" s="6" t="s">
        <v>14</v>
      </c>
      <c r="H29" s="8">
        <f>H28*0.15</f>
        <v>4530</v>
      </c>
    </row>
    <row r="30" spans="2:8">
      <c r="G30" s="6" t="s">
        <v>9</v>
      </c>
      <c r="H30" s="8">
        <f>H29+H28</f>
        <v>34730</v>
      </c>
    </row>
    <row r="36" spans="2:8" ht="31.8" customHeight="1"/>
    <row r="37" spans="2:8" ht="73.8" customHeight="1"/>
    <row r="39" spans="2:8" ht="27.6" customHeight="1"/>
    <row r="40" spans="2:8" ht="5.4" customHeight="1">
      <c r="B40" s="4"/>
      <c r="C40" s="4"/>
      <c r="D40" s="4"/>
      <c r="E40" s="4"/>
      <c r="F40" s="4"/>
      <c r="G40" s="4"/>
      <c r="H40" s="4"/>
    </row>
    <row r="42" spans="2:8" ht="25.2" customHeight="1"/>
    <row r="49" ht="21" customHeight="1"/>
    <row r="51" ht="1.95" customHeight="1"/>
    <row r="52" ht="7.95" customHeight="1"/>
    <row r="53" ht="16.05" customHeight="1"/>
    <row r="55" ht="6" customHeight="1"/>
    <row r="56" ht="9.75" customHeight="1"/>
  </sheetData>
  <mergeCells count="23"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0:F20"/>
    <mergeCell ref="D28:F28"/>
    <mergeCell ref="D27:F27"/>
    <mergeCell ref="D23:F23"/>
    <mergeCell ref="D21:F21"/>
    <mergeCell ref="D22:F22"/>
    <mergeCell ref="D24:F24"/>
    <mergeCell ref="D25:F25"/>
    <mergeCell ref="D26:F26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2025-01-21T19:56:41Z</cp:lastPrinted>
  <dcterms:created xsi:type="dcterms:W3CDTF">2022-10-19T19:05:00Z</dcterms:created>
  <dcterms:modified xsi:type="dcterms:W3CDTF">2025-02-03T23:13:36Z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