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CD1B0AC7-123B-4A65-8EF1-502F6526341A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 l="1"/>
  <c r="H17" i="1"/>
  <c r="H16" i="1"/>
  <c r="H18" i="1"/>
  <c r="H20" i="1"/>
  <c r="H22" i="1"/>
  <c r="H23" i="1" l="1"/>
  <c r="H24" i="1" s="1"/>
  <c r="H25" i="1" l="1"/>
</calcChain>
</file>

<file path=xl/sharedStrings.xml><?xml version="1.0" encoding="utf-8"?>
<sst xmlns="http://schemas.openxmlformats.org/spreadsheetml/2006/main" count="24" uniqueCount="23">
  <si>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</si>
  <si>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</si>
  <si>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</si>
  <si>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</si>
  <si>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</si>
  <si>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</si>
  <si>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</si>
  <si>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</si>
  <si>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</si>
  <si>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</si>
  <si>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</si>
  <si>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</si>
  <si>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</si>
  <si>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</si>
  <si>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</si>
  <si>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</si>
  <si>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</si>
  <si>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</si>
  <si>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Eufemio Martinez</t>
  </si>
  <si>
    <t>Microfonos inalambricos</t>
  </si>
  <si>
    <t>El palacio de los niños</t>
  </si>
  <si>
    <t>2025-238</t>
  </si>
  <si>
    <t>Audio profesional 2 parlantes de barra y consola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</si>
</sst>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0" fillId="4" borderId="0" applyNumberFormat="0" applyBorder="0" applyAlignment="0" applyProtection="0"/>
    <xf numFmtId="0" fontId="11" fillId="3" borderId="0" applyNumberFormat="0" applyBorder="0" applyAlignment="0" applyProtection="0"/>
    <xf numFmtId="44" fontId="1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1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8" fillId="5" borderId="7" xfId="0" applyFont="1" applyFill="1" applyBorder="1" applyAlignment="1">
      <alignment horizontal="center"/>
    </xf>
    <xf numFmtId="0" fontId="13" fillId="2" borderId="3" xfId="2" applyFont="1" applyFill="1" applyBorder="1" applyAlignment="1">
      <alignment horizontal="center"/>
    </xf>
    <xf numFmtId="164" fontId="13" fillId="2" borderId="3" xfId="2" applyNumberFormat="1" applyFont="1" applyFill="1" applyBorder="1"/>
    <xf numFmtId="164" fontId="14" fillId="2" borderId="3" xfId="0" applyNumberFormat="1" applyFont="1" applyFill="1" applyBorder="1"/>
    <xf numFmtId="0" fontId="9" fillId="2" borderId="8" xfId="1" applyFont="1" applyFill="1" applyBorder="1" applyAlignment="1">
      <alignment horizontal="center"/>
    </xf>
    <xf numFmtId="0" fontId="11" fillId="3" borderId="3" xfId="2" applyBorder="1" applyAlignment="1">
      <alignment horizontal="center" vertical="center"/>
    </xf>
    <xf numFmtId="44" fontId="11" fillId="3" borderId="3" xfId="2" applyNumberFormat="1" applyBorder="1" applyAlignment="1"/>
    <xf numFmtId="44" fontId="11" fillId="3" borderId="3" xfId="3" applyFill="1" applyBorder="1" applyAlignment="1"/>
    <xf numFmtId="0" fontId="6" fillId="0" borderId="1" xfId="0" applyFont="1" applyBorder="1" applyAlignment="1">
      <alignment horizontal="center"/>
    </xf>
    <xf numFmtId="0" fontId="15" fillId="2" borderId="8" xfId="1" applyFont="1" applyFill="1" applyBorder="1" applyAlignment="1">
      <alignment horizontal="center"/>
    </xf>
    <xf numFmtId="44" fontId="0" fillId="3" borderId="3" xfId="2" applyNumberFormat="1" applyFont="1" applyBorder="1" applyAlignment="1"/>
    <xf numFmtId="165" fontId="11" fillId="3" borderId="3" xfId="3" applyNumberFormat="1" applyFill="1" applyBorder="1" applyAlignment="1"/>
    <xf numFmtId="14" fontId="4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9" fillId="2" borderId="8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0" fontId="4" fillId="0" borderId="6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2" fillId="3" borderId="5" xfId="2" applyFont="1" applyBorder="1" applyAlignment="1">
      <alignment horizontal="left" wrapText="1"/>
    </xf>
    <xf numFmtId="0" fontId="5" fillId="3" borderId="6" xfId="2" applyFont="1" applyBorder="1" applyAlignment="1">
      <alignment horizontal="left" wrapText="1"/>
    </xf>
    <xf numFmtId="0" fontId="5" fillId="3" borderId="4" xfId="2" applyFont="1" applyBorder="1" applyAlignment="1">
      <alignment horizontal="left" wrapText="1"/>
    </xf>
    <xf numFmtId="0" fontId="2" fillId="3" borderId="5" xfId="2" applyFont="1" applyBorder="1" applyAlignment="1">
      <alignment horizontal="left"/>
    </xf>
    <xf numFmtId="0" fontId="6" fillId="3" borderId="6" xfId="2" applyFont="1" applyBorder="1" applyAlignment="1">
      <alignment horizontal="left"/>
    </xf>
    <xf numFmtId="0" fontId="6" fillId="3" borderId="4" xfId="2" applyFont="1" applyBorder="1" applyAlignment="1">
      <alignment horizontal="left"/>
    </xf>
    <xf numFmtId="0" fontId="11" fillId="3" borderId="6" xfId="2" applyBorder="1" applyAlignment="1">
      <alignment horizontal="left"/>
    </xf>
    <xf numFmtId="0" fontId="11" fillId="3" borderId="4" xfId="2" applyBorder="1" applyAlignment="1">
      <alignment horizontal="left"/>
    </xf>
    <xf numFmtId="0" fontId="0" fillId="0" borderId="2" xfId="0" applyBorder="1"/>
    <xf numFmtId="0" fontId="2" fillId="3" borderId="6" xfId="2" applyFont="1" applyBorder="1" applyAlignment="1">
      <alignment horizontal="left"/>
    </xf>
    <xf numFmtId="0" fontId="2" fillId="3" borderId="4" xfId="2" applyFont="1" applyBorder="1" applyAlignment="1">
      <alignment horizontal="left"/>
    </xf>
    <xf numFmtId="0" fontId="2" fillId="3" borderId="6" xfId="2" applyFont="1" applyBorder="1" applyAlignment="1">
      <alignment horizontal="left" wrapText="1"/>
    </xf>
    <xf numFmtId="0" fontId="2" fillId="3" borderId="4" xfId="2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3" borderId="5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28</xdr:row>
      <xdr:rowOff>83925</xdr:rowOff>
    </xdr:from>
    <xdr:to>
      <xdr:col>1</xdr:col>
      <xdr:colOff>113617</xdr:colOff>
      <xdr:row>30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5258826"/>
          <a:ext cx="50716" cy="334319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22</xdr:row>
      <xdr:rowOff>163794</xdr:rowOff>
    </xdr:from>
    <xdr:to>
      <xdr:col>7</xdr:col>
      <xdr:colOff>847459</xdr:colOff>
      <xdr:row>33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31</xdr:row>
      <xdr:rowOff>1228103</xdr:rowOff>
    </xdr:from>
    <xdr:to>
      <xdr:col>4</xdr:col>
      <xdr:colOff>182839</xdr:colOff>
      <xdr:row>37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31</xdr:row>
      <xdr:rowOff>1253501</xdr:rowOff>
    </xdr:from>
    <xdr:to>
      <xdr:col>8</xdr:col>
      <xdr:colOff>52800</xdr:colOff>
      <xdr:row>38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1"/>
  <sheetViews>
    <sheetView tabSelected="1" view="pageLayout" zoomScale="91" zoomScaleNormal="62" zoomScaleSheetLayoutView="112" zoomScalePageLayoutView="91" workbookViewId="0">
      <selection activeCell="F13" sqref="F13:G13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4" t="s">
        <v>21</v>
      </c>
    </row>
    <row r="11" spans="2:9" ht="12.6" customHeight="1">
      <c r="B11" s="22" t="s">
        <v>12</v>
      </c>
      <c r="C11" s="22"/>
      <c r="D11" s="43" t="s">
        <v>20</v>
      </c>
      <c r="E11" s="25"/>
      <c r="F11" t="s">
        <v>9</v>
      </c>
      <c r="G11" s="26" t="s">
        <v>18</v>
      </c>
      <c r="H11" s="21"/>
    </row>
    <row r="12" spans="2:9" ht="14.4" customHeight="1">
      <c r="B12" s="23" t="s">
        <v>0</v>
      </c>
      <c r="C12" s="23"/>
      <c r="D12" s="28" t="s">
        <v>17</v>
      </c>
      <c r="E12" s="29"/>
      <c r="F12" s="1" t="s">
        <v>13</v>
      </c>
      <c r="G12" s="27">
        <v>8019001212826</v>
      </c>
      <c r="H12" s="27"/>
    </row>
    <row r="13" spans="2:9">
      <c r="B13" s="1" t="s">
        <v>1</v>
      </c>
      <c r="C13" s="1" t="s">
        <v>2</v>
      </c>
      <c r="D13" s="24" t="s">
        <v>3</v>
      </c>
      <c r="E13" s="24"/>
      <c r="F13" s="22" t="s">
        <v>8</v>
      </c>
      <c r="G13" s="22"/>
      <c r="H13" s="1" t="s">
        <v>11</v>
      </c>
    </row>
    <row r="14" spans="2:9">
      <c r="B14" s="2">
        <v>45902</v>
      </c>
      <c r="C14" s="1"/>
      <c r="D14" s="17">
        <v>45904</v>
      </c>
      <c r="E14" s="18"/>
      <c r="F14" s="20"/>
      <c r="G14" s="21"/>
      <c r="H14" s="13" t="s">
        <v>16</v>
      </c>
    </row>
    <row r="15" spans="2:9" ht="15.6">
      <c r="B15" s="9" t="s">
        <v>4</v>
      </c>
      <c r="C15" s="14" t="s">
        <v>7</v>
      </c>
      <c r="D15" s="19"/>
      <c r="E15" s="19"/>
      <c r="F15" s="19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45" t="s">
        <v>22</v>
      </c>
      <c r="E16" s="31"/>
      <c r="F16" s="32"/>
      <c r="G16" s="12">
        <v>2500</v>
      </c>
      <c r="H16" s="12">
        <f t="shared" ref="H16:H20" si="0">G16*B16*C16</f>
        <v>2500</v>
      </c>
    </row>
    <row r="17" spans="2:8" ht="16.8" customHeight="1">
      <c r="B17" s="3">
        <v>2</v>
      </c>
      <c r="C17" s="3">
        <v>1</v>
      </c>
      <c r="D17" s="30" t="s">
        <v>19</v>
      </c>
      <c r="E17" s="41"/>
      <c r="F17" s="42"/>
      <c r="G17" s="12">
        <v>250</v>
      </c>
      <c r="H17" s="12">
        <f>G17*B17</f>
        <v>500</v>
      </c>
    </row>
    <row r="18" spans="2:8">
      <c r="B18" s="3"/>
      <c r="C18" s="10"/>
      <c r="D18" s="33"/>
      <c r="E18" s="34"/>
      <c r="F18" s="35"/>
      <c r="G18" s="11"/>
      <c r="H18" s="12">
        <f t="shared" si="0"/>
        <v>0</v>
      </c>
    </row>
    <row r="19" spans="2:8">
      <c r="B19" s="3"/>
      <c r="C19" s="3"/>
      <c r="D19" s="33"/>
      <c r="E19" s="36"/>
      <c r="F19" s="37"/>
      <c r="G19" s="15"/>
      <c r="H19" s="16">
        <f t="shared" si="0"/>
        <v>0</v>
      </c>
    </row>
    <row r="20" spans="2:8">
      <c r="B20" s="3"/>
      <c r="C20" s="3"/>
      <c r="D20" s="33"/>
      <c r="E20" s="36"/>
      <c r="F20" s="37"/>
      <c r="G20" s="11"/>
      <c r="H20" s="12">
        <f t="shared" si="0"/>
        <v>0</v>
      </c>
    </row>
    <row r="21" spans="2:8">
      <c r="B21" s="3"/>
      <c r="C21" s="3"/>
      <c r="D21" s="33"/>
      <c r="E21" s="36"/>
      <c r="F21" s="37"/>
      <c r="G21" s="11"/>
      <c r="H21" s="12"/>
    </row>
    <row r="22" spans="2:8">
      <c r="B22" s="3"/>
      <c r="C22" s="3"/>
      <c r="D22" s="33"/>
      <c r="E22" s="39"/>
      <c r="F22" s="40"/>
      <c r="G22" s="11"/>
      <c r="H22" s="12">
        <f t="shared" ref="H22" si="1">G22*B22*C22</f>
        <v>0</v>
      </c>
    </row>
    <row r="23" spans="2:8">
      <c r="D23" s="38"/>
      <c r="E23" s="38"/>
      <c r="F23" s="38"/>
      <c r="G23" s="6" t="s">
        <v>15</v>
      </c>
      <c r="H23" s="7">
        <f>SUM(H16:H22)</f>
        <v>3000</v>
      </c>
    </row>
    <row r="24" spans="2:8">
      <c r="G24" s="6" t="s">
        <v>14</v>
      </c>
      <c r="H24" s="8">
        <f>H23*0.15</f>
        <v>450</v>
      </c>
    </row>
    <row r="25" spans="2:8">
      <c r="G25" s="6" t="s">
        <v>6</v>
      </c>
      <c r="H25" s="8">
        <f>H23+H24</f>
        <v>3450</v>
      </c>
    </row>
    <row r="32" spans="2:8" ht="126.6" customHeight="1"/>
    <row r="34" spans="2:8" ht="27.6" customHeight="1"/>
    <row r="35" spans="2:8" ht="5.4" customHeight="1">
      <c r="B35" s="4"/>
      <c r="C35" s="4"/>
      <c r="D35" s="4"/>
      <c r="E35" s="4"/>
      <c r="F35" s="4"/>
      <c r="G35" s="4"/>
      <c r="H35" s="4"/>
    </row>
    <row r="37" spans="2:8" ht="25.2" customHeight="1"/>
    <row r="44" spans="2:8" ht="21" customHeight="1"/>
    <row r="46" spans="2:8" ht="1.95" customHeight="1"/>
    <row r="47" spans="2:8" ht="7.95" customHeight="1"/>
    <row r="48" spans="2:8" ht="16.05" customHeight="1"/>
    <row r="50" ht="6" customHeight="1"/>
    <row r="51" ht="9.75" customHeight="1"/>
  </sheetData>
  <mergeCells count="19">
    <mergeCell ref="D16:F16"/>
    <mergeCell ref="D18:F18"/>
    <mergeCell ref="D23:F23"/>
    <mergeCell ref="D22:F22"/>
    <mergeCell ref="D19:F19"/>
    <mergeCell ref="D20:F20"/>
    <mergeCell ref="D21:F21"/>
    <mergeCell ref="D17:F17"/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</mergeCells>
  <phoneticPr fontId="12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2025-08-25T23:27:32Z</cp:lastPrinted>
  <dcterms:created xsi:type="dcterms:W3CDTF">2022-10-19T19:05:00Z</dcterms:created>
  <dcterms:modified xsi:type="dcterms:W3CDTF">2025-09-02T18:50:49Z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