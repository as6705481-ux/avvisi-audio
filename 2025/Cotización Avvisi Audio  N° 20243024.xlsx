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748A4733-D4DD-435E-9EB2-0C6A27B8F32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3" i="1" l="1"/>
  <c r="H34" i="1" l="1"/>
  <c r="H35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<sst xmlns="http://schemas.openxmlformats.org/spreadsheetml/2006/main" count="25" uniqueCount="25">
  <si>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</si>
  <si>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</si>
  <si>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</si>
  <si>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</si>
  <si>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</si>
  <si>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</si>
  <si>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</si>
  <si>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</si>
  <si>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</si>
  <si>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</si>
  <si>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</si>
  <si>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</si>
  <si>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</si>
  <si>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</si>
  <si>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</si>
  <si>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</si>
  <si>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</si>
  <si>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</si>
  <si>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</si>
  <si>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</si>
  <si>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2024-3024</t>
  </si>
  <si>
    <t xml:space="preserve">Audio para stand </t>
  </si>
  <si>
    <t xml:space="preserve">Banhcafe Luis Lopez </t>
  </si>
  <si>
    <t xml:space="preserve"> </t>
  </si>
  <si>
    <t>16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</si>
</sst>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7" fontId="0" fillId="0" borderId="2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7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2" fillId="3" borderId="7" xfId="3" applyFont="1" applyBorder="1" applyAlignment="1">
      <alignment horizontal="left"/>
    </xf>
    <xf numFmtId="0" fontId="2" fillId="3" borderId="8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347" y="7369817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8498"/>
          <a:ext cx="6269891" cy="13341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32</xdr:row>
      <xdr:rowOff>95251</xdr:rowOff>
    </xdr:from>
    <xdr:to>
      <xdr:col>8</xdr:col>
      <xdr:colOff>214313</xdr:colOff>
      <xdr:row>42</xdr:row>
      <xdr:rowOff>119064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27751"/>
          <a:ext cx="6491288" cy="1849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43</xdr:row>
      <xdr:rowOff>38100</xdr:rowOff>
    </xdr:from>
    <xdr:to>
      <xdr:col>4</xdr:col>
      <xdr:colOff>131445</xdr:colOff>
      <xdr:row>48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43</xdr:row>
      <xdr:rowOff>76200</xdr:rowOff>
    </xdr:from>
    <xdr:to>
      <xdr:col>7</xdr:col>
      <xdr:colOff>852805</xdr:colOff>
      <xdr:row>49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8" zoomScale="130" zoomScaleNormal="100" zoomScaleSheetLayoutView="112" zoomScalePageLayoutView="130" workbookViewId="0">
      <selection activeCell="D23" sqref="D23:F23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7"/>
      <c r="C1" s="27"/>
      <c r="D1" s="27"/>
      <c r="E1" s="27"/>
      <c r="F1" s="27"/>
      <c r="G1" s="27"/>
      <c r="H1" s="27"/>
    </row>
    <row r="5" spans="2:9" ht="15" thickBot="1"/>
    <row r="6" spans="2:9" ht="15" thickBot="1">
      <c r="H6" s="11" t="s">
        <v>13</v>
      </c>
      <c r="I6" s="11" t="s">
        <v>20</v>
      </c>
    </row>
    <row r="12" spans="2:9" ht="12.6" customHeight="1">
      <c r="B12" s="28" t="s">
        <v>0</v>
      </c>
      <c r="C12" s="28"/>
      <c r="D12" s="29" t="s">
        <v>22</v>
      </c>
      <c r="E12" s="30"/>
      <c r="F12" t="s">
        <v>12</v>
      </c>
      <c r="G12" s="17" t="s">
        <v>15</v>
      </c>
      <c r="H12" s="17"/>
    </row>
    <row r="13" spans="2:9" ht="14.4" customHeight="1">
      <c r="B13" s="28" t="s">
        <v>1</v>
      </c>
      <c r="C13" s="28"/>
      <c r="D13" s="29" t="s">
        <v>23</v>
      </c>
      <c r="E13" s="30"/>
      <c r="F13" s="30"/>
      <c r="G13" s="30"/>
    </row>
    <row r="14" spans="2:9">
      <c r="B14" s="1" t="s">
        <v>2</v>
      </c>
      <c r="C14" s="1" t="s">
        <v>3</v>
      </c>
      <c r="D14" s="16" t="s">
        <v>4</v>
      </c>
      <c r="E14" s="16"/>
      <c r="F14" s="16" t="s">
        <v>11</v>
      </c>
      <c r="G14" s="16"/>
      <c r="H14" s="1" t="s">
        <v>18</v>
      </c>
    </row>
    <row r="15" spans="2:9">
      <c r="B15" s="2" t="s">
        <v>24</v>
      </c>
      <c r="C15" s="1" t="s">
        <v>14</v>
      </c>
      <c r="D15" s="31">
        <v>45505</v>
      </c>
      <c r="E15" s="16"/>
      <c r="F15" s="17" t="s">
        <v>19</v>
      </c>
      <c r="G15" s="17"/>
      <c r="H15" s="15"/>
    </row>
    <row r="16" spans="2:9" ht="15.6">
      <c r="B16" s="3" t="s">
        <v>5</v>
      </c>
      <c r="C16" s="3" t="s">
        <v>9</v>
      </c>
      <c r="D16" s="32" t="s">
        <v>6</v>
      </c>
      <c r="E16" s="32"/>
      <c r="F16" s="32"/>
      <c r="G16" s="3" t="s">
        <v>7</v>
      </c>
      <c r="H16" s="3" t="s">
        <v>8</v>
      </c>
    </row>
    <row r="17" spans="2:8">
      <c r="B17" s="4">
        <v>1</v>
      </c>
      <c r="C17" s="10">
        <v>3</v>
      </c>
      <c r="D17" s="21" t="s">
        <v>21</v>
      </c>
      <c r="E17" s="33"/>
      <c r="F17" s="33"/>
      <c r="G17" s="5">
        <v>1000</v>
      </c>
      <c r="H17" s="9">
        <f t="shared" ref="H17:H29" si="0">G17*B17*C17</f>
        <v>3000</v>
      </c>
    </row>
    <row r="18" spans="2:8">
      <c r="B18" s="4"/>
      <c r="C18" s="10"/>
      <c r="D18" s="21"/>
      <c r="E18" s="22"/>
      <c r="F18" s="22"/>
      <c r="G18" s="5"/>
      <c r="H18" s="9">
        <f t="shared" si="0"/>
        <v>0</v>
      </c>
    </row>
    <row r="19" spans="2:8">
      <c r="B19" s="4"/>
      <c r="C19" s="10"/>
      <c r="D19" s="21"/>
      <c r="E19" s="22"/>
      <c r="F19" s="22"/>
      <c r="G19" s="5"/>
      <c r="H19" s="9">
        <f t="shared" si="0"/>
        <v>0</v>
      </c>
    </row>
    <row r="20" spans="2:8">
      <c r="B20" s="4"/>
      <c r="C20" s="10"/>
      <c r="D20" s="23"/>
      <c r="E20" s="24"/>
      <c r="F20" s="24"/>
      <c r="G20" s="5"/>
      <c r="H20" s="9">
        <f t="shared" si="0"/>
        <v>0</v>
      </c>
    </row>
    <row r="21" spans="2:8">
      <c r="B21" s="4"/>
      <c r="C21" s="10"/>
      <c r="D21" s="23"/>
      <c r="E21" s="24"/>
      <c r="F21" s="24"/>
      <c r="G21" s="5"/>
      <c r="H21" s="9">
        <f t="shared" si="0"/>
        <v>0</v>
      </c>
    </row>
    <row r="22" spans="2:8">
      <c r="B22" s="4"/>
      <c r="C22" s="10"/>
      <c r="D22" s="23"/>
      <c r="E22" s="24"/>
      <c r="F22" s="24"/>
      <c r="G22" s="5"/>
      <c r="H22" s="9">
        <f t="shared" si="0"/>
        <v>0</v>
      </c>
    </row>
    <row r="23" spans="2:8">
      <c r="B23" s="4"/>
      <c r="C23" s="10"/>
      <c r="D23" s="23"/>
      <c r="E23" s="24"/>
      <c r="F23" s="24"/>
      <c r="G23" s="5"/>
      <c r="H23" s="9">
        <f t="shared" si="0"/>
        <v>0</v>
      </c>
    </row>
    <row r="24" spans="2:8">
      <c r="B24" s="4"/>
      <c r="C24" s="10"/>
      <c r="D24" s="18"/>
      <c r="E24" s="19"/>
      <c r="F24" s="20"/>
      <c r="G24" s="5"/>
      <c r="H24" s="9">
        <f t="shared" si="0"/>
        <v>0</v>
      </c>
    </row>
    <row r="25" spans="2:8">
      <c r="B25" s="4"/>
      <c r="C25" s="10"/>
      <c r="D25" s="25"/>
      <c r="E25" s="22"/>
      <c r="F25" s="22"/>
      <c r="G25" s="5"/>
      <c r="H25" s="9">
        <f t="shared" si="0"/>
        <v>0</v>
      </c>
    </row>
    <row r="26" spans="2:8">
      <c r="B26" s="4"/>
      <c r="C26" s="10"/>
      <c r="D26" s="36"/>
      <c r="E26" s="37"/>
      <c r="F26" s="38"/>
      <c r="G26" s="5"/>
      <c r="H26" s="9">
        <f t="shared" si="0"/>
        <v>0</v>
      </c>
    </row>
    <row r="27" spans="2:8">
      <c r="B27" s="4"/>
      <c r="C27" s="10"/>
      <c r="D27" s="26"/>
      <c r="E27" s="24"/>
      <c r="F27" s="24"/>
      <c r="G27" s="5"/>
      <c r="H27" s="9">
        <f t="shared" si="0"/>
        <v>0</v>
      </c>
    </row>
    <row r="28" spans="2:8">
      <c r="B28" s="4"/>
      <c r="C28" s="10"/>
      <c r="D28" s="26"/>
      <c r="E28" s="24"/>
      <c r="F28" s="24"/>
      <c r="G28" s="5"/>
      <c r="H28" s="9">
        <f t="shared" si="0"/>
        <v>0</v>
      </c>
    </row>
    <row r="29" spans="2:8">
      <c r="B29" s="4"/>
      <c r="C29" s="10"/>
      <c r="D29" s="44"/>
      <c r="E29" s="19"/>
      <c r="F29" s="20"/>
      <c r="G29" s="5"/>
      <c r="H29" s="9">
        <f t="shared" si="0"/>
        <v>0</v>
      </c>
    </row>
    <row r="30" spans="2:8">
      <c r="B30" s="4"/>
      <c r="C30" s="10"/>
      <c r="D30" s="39"/>
      <c r="E30" s="40"/>
      <c r="F30" s="41"/>
      <c r="G30" s="5"/>
      <c r="H30" s="9"/>
    </row>
    <row r="31" spans="2:8">
      <c r="B31" s="4"/>
      <c r="C31" s="10"/>
      <c r="D31" s="39"/>
      <c r="E31" s="40"/>
      <c r="F31" s="41"/>
      <c r="G31" s="8"/>
      <c r="H31" s="9"/>
    </row>
    <row r="32" spans="2:8">
      <c r="B32" s="4"/>
      <c r="C32" s="4"/>
      <c r="D32" s="42"/>
      <c r="E32" s="43"/>
      <c r="F32" s="43"/>
      <c r="G32" s="5"/>
      <c r="H32" s="9"/>
    </row>
    <row r="33" spans="2:8">
      <c r="D33" s="34"/>
      <c r="E33" s="34"/>
      <c r="F33" s="34"/>
      <c r="G33" s="12" t="s">
        <v>10</v>
      </c>
      <c r="H33" s="6">
        <f>SUM(H17:H32)</f>
        <v>3000</v>
      </c>
    </row>
    <row r="34" spans="2:8">
      <c r="D34" s="35"/>
      <c r="E34" s="35"/>
      <c r="F34" s="35"/>
      <c r="G34" s="12" t="s">
        <v>16</v>
      </c>
      <c r="H34" s="13">
        <f>H33*0.15</f>
        <v>450</v>
      </c>
    </row>
    <row r="35" spans="2:8">
      <c r="D35" s="35"/>
      <c r="E35" s="35"/>
      <c r="F35" s="35"/>
      <c r="G35" s="12" t="s">
        <v>17</v>
      </c>
      <c r="H35" s="14">
        <f>H33+H34</f>
        <v>3450</v>
      </c>
    </row>
    <row r="44" spans="2:8" ht="25.2" customHeight="1"/>
    <row r="47" spans="2:8">
      <c r="B47" s="7"/>
      <c r="C47" s="7"/>
      <c r="D47" s="7"/>
      <c r="E47" s="7"/>
      <c r="F47" s="7"/>
      <c r="G47" s="7"/>
      <c r="H47" s="7"/>
    </row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30">
    <mergeCell ref="D33:F33"/>
    <mergeCell ref="D34:F34"/>
    <mergeCell ref="D26:F26"/>
    <mergeCell ref="D35:F35"/>
    <mergeCell ref="D30:F30"/>
    <mergeCell ref="D31:F31"/>
    <mergeCell ref="D32:F32"/>
    <mergeCell ref="D28:F28"/>
    <mergeCell ref="D29:F29"/>
    <mergeCell ref="D25:F25"/>
    <mergeCell ref="D27:F27"/>
    <mergeCell ref="B1:H1"/>
    <mergeCell ref="B12:C12"/>
    <mergeCell ref="B13:C13"/>
    <mergeCell ref="D13:G13"/>
    <mergeCell ref="D14:E14"/>
    <mergeCell ref="D12:E12"/>
    <mergeCell ref="G12:H12"/>
    <mergeCell ref="D15:E15"/>
    <mergeCell ref="D16:F16"/>
    <mergeCell ref="D17:F17"/>
    <mergeCell ref="D23:F23"/>
    <mergeCell ref="F14:G14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2024-07-09T22:22:26Z</cp:lastPrinted>
  <dcterms:created xsi:type="dcterms:W3CDTF">2022-10-19T19:05:00Z</dcterms:created>
  <dcterms:modified xsi:type="dcterms:W3CDTF">2024-07-16T06:08:27Z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