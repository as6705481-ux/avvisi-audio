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2FCA4E54-224F-4CFE-A7AE-ABD90D1CB8C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30" i="1" l="1"/>
  <c r="H31" i="1" l="1"/>
  <c r="H3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<sst xmlns="http://schemas.openxmlformats.org/spreadsheetml/2006/main" count="27" uniqueCount="26">
  <si>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</si>
  <si>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</si>
  <si>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</si>
  <si>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</si>
  <si>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</si>
  <si>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</si>
  <si>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</si>
  <si>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</si>
  <si>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</si>
  <si>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</si>
  <si>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</si>
  <si>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</si>
  <si>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</si>
  <si>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</si>
  <si>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</si>
  <si>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</si>
  <si>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</si>
  <si>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</si>
  <si>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</si>
  <si>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 xml:space="preserve">Evento de marca </t>
  </si>
  <si>
    <t xml:space="preserve">Totem led 1 x 2 metros </t>
  </si>
  <si>
    <t xml:space="preserve">Banco de Occidente </t>
  </si>
  <si>
    <t xml:space="preserve">Expocentro SPS </t>
  </si>
  <si>
    <t xml:space="preserve">no definido </t>
  </si>
  <si>
    <t xml:space="preserve">21 y 22 de Agosto </t>
  </si>
  <si>
    <t>2025-225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</si>
</sst>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3" xfId="2" applyFont="1" applyBorder="1" applyAlignment="1">
      <alignment horizontal="left" vertical="center"/>
    </xf>
    <xf numFmtId="0" fontId="6" fillId="3" borderId="3" xfId="2" applyBorder="1" applyAlignment="1">
      <alignment horizontal="left" vertic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5253" y="6523244"/>
          <a:ext cx="50716" cy="33431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94"/>
          <a:ext cx="6485374" cy="1328309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6" zoomScale="91" zoomScaleNormal="91" zoomScaleSheetLayoutView="112" zoomScalePageLayoutView="107" workbookViewId="0">
      <selection activeCell="J15" sqref="J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33" t="s">
        <v>25</v>
      </c>
    </row>
    <row r="12" spans="2:9" ht="12.6" customHeight="1">
      <c r="B12" s="26" t="s">
        <v>14</v>
      </c>
      <c r="C12" s="26"/>
      <c r="D12" s="32" t="s">
        <v>21</v>
      </c>
      <c r="E12" s="28"/>
      <c r="F12" t="s">
        <v>11</v>
      </c>
      <c r="G12" s="21" t="s">
        <v>15</v>
      </c>
      <c r="H12" s="21"/>
    </row>
    <row r="13" spans="2:9" ht="14.4" customHeight="1">
      <c r="B13" s="26" t="s">
        <v>0</v>
      </c>
      <c r="C13" s="26"/>
      <c r="D13" s="38" t="s">
        <v>22</v>
      </c>
      <c r="E13" s="30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45523</v>
      </c>
      <c r="C15" s="1" t="s">
        <v>18</v>
      </c>
      <c r="D15" s="34" t="s">
        <v>24</v>
      </c>
      <c r="E15" s="17"/>
      <c r="F15" s="35" t="s">
        <v>19</v>
      </c>
      <c r="G15" s="21"/>
      <c r="H15" s="7" t="s">
        <v>23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5" t="s">
        <v>7</v>
      </c>
    </row>
    <row r="17" spans="2:8">
      <c r="B17" s="4">
        <v>2</v>
      </c>
      <c r="C17" s="4">
        <v>2</v>
      </c>
      <c r="D17" s="36" t="s">
        <v>20</v>
      </c>
      <c r="E17" s="37"/>
      <c r="F17" s="37"/>
      <c r="G17" s="13">
        <v>4500</v>
      </c>
      <c r="H17" s="16">
        <f>B17*G17*C17</f>
        <v>18000</v>
      </c>
    </row>
    <row r="18" spans="2:8">
      <c r="B18" s="4"/>
      <c r="C18" s="4"/>
      <c r="D18" s="22"/>
      <c r="E18" s="23"/>
      <c r="F18" s="24"/>
      <c r="G18" s="13"/>
      <c r="H18" s="16"/>
    </row>
    <row r="19" spans="2:8">
      <c r="B19" s="4"/>
      <c r="C19" s="6"/>
      <c r="D19" s="19"/>
      <c r="E19" s="20"/>
      <c r="F19" s="20"/>
      <c r="G19" s="14"/>
      <c r="H19" s="16"/>
    </row>
    <row r="20" spans="2:8">
      <c r="B20" s="4"/>
      <c r="C20" s="6"/>
      <c r="D20" s="19"/>
      <c r="E20" s="20"/>
      <c r="F20" s="20"/>
      <c r="G20" s="14"/>
      <c r="H20" s="16"/>
    </row>
    <row r="21" spans="2:8">
      <c r="B21" s="6"/>
      <c r="C21" s="6"/>
      <c r="D21" s="19"/>
      <c r="E21" s="20"/>
      <c r="F21" s="20"/>
      <c r="G21" s="14"/>
      <c r="H21" s="16"/>
    </row>
    <row r="22" spans="2:8">
      <c r="B22" s="4"/>
      <c r="C22" s="6"/>
      <c r="D22" s="22"/>
      <c r="E22" s="23"/>
      <c r="F22" s="24"/>
      <c r="G22" s="14"/>
      <c r="H22" s="16"/>
    </row>
    <row r="23" spans="2:8">
      <c r="B23" s="4"/>
      <c r="C23" s="6"/>
      <c r="D23" s="22"/>
      <c r="E23" s="23"/>
      <c r="F23" s="24"/>
      <c r="G23" s="14"/>
      <c r="H23" s="16"/>
    </row>
    <row r="24" spans="2:8">
      <c r="B24" s="4"/>
      <c r="C24" s="6"/>
      <c r="D24" s="22"/>
      <c r="E24" s="23"/>
      <c r="F24" s="24"/>
      <c r="G24" s="14"/>
      <c r="H24" s="16"/>
    </row>
    <row r="25" spans="2:8">
      <c r="B25" s="4"/>
      <c r="C25" s="6"/>
      <c r="D25" s="22"/>
      <c r="E25" s="23"/>
      <c r="F25" s="24"/>
      <c r="G25" s="9"/>
      <c r="H25" s="16"/>
    </row>
    <row r="26" spans="2:8">
      <c r="B26" s="4"/>
      <c r="C26" s="6"/>
      <c r="D26" s="22"/>
      <c r="E26" s="23"/>
      <c r="F26" s="24"/>
      <c r="G26" s="9"/>
      <c r="H26" s="16"/>
    </row>
    <row r="27" spans="2:8">
      <c r="B27" s="4"/>
      <c r="C27" s="6"/>
      <c r="D27" s="22"/>
      <c r="E27" s="23"/>
      <c r="F27" s="24"/>
      <c r="G27" s="9"/>
      <c r="H27" s="16"/>
    </row>
    <row r="28" spans="2:8">
      <c r="B28" s="4"/>
      <c r="C28" s="6"/>
      <c r="D28" s="22"/>
      <c r="E28" s="23"/>
      <c r="F28" s="24"/>
      <c r="G28" s="9"/>
      <c r="H28" s="16"/>
    </row>
    <row r="29" spans="2:8">
      <c r="B29" s="4"/>
      <c r="C29" s="6"/>
      <c r="D29" s="22"/>
      <c r="E29" s="23"/>
      <c r="F29" s="24"/>
      <c r="G29" s="9"/>
      <c r="H29" s="16"/>
    </row>
    <row r="30" spans="2:8">
      <c r="D30" s="31"/>
      <c r="E30" s="31"/>
      <c r="F30" s="31"/>
      <c r="G30" s="10" t="s">
        <v>9</v>
      </c>
      <c r="H30" s="11">
        <f>SUM(H17:H29)</f>
        <v>18000</v>
      </c>
    </row>
    <row r="31" spans="2:8">
      <c r="G31" s="10" t="s">
        <v>16</v>
      </c>
      <c r="H31" s="12">
        <f>H30*0.15</f>
        <v>2700</v>
      </c>
    </row>
    <row r="32" spans="2:8">
      <c r="G32" s="10" t="s">
        <v>9</v>
      </c>
      <c r="H32" s="12">
        <f>H31+H30</f>
        <v>20700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2025-08-19T15:19:54Z</cp:lastPrinted>
  <dcterms:created xsi:type="dcterms:W3CDTF">2022-10-19T19:05:00Z</dcterms:created>
  <dcterms:modified xsi:type="dcterms:W3CDTF">2025-08-20T16:04:28Z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