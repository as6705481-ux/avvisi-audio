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41C408F-D04F-4EF3-8980-C5861F16B2B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<sst xmlns="http://schemas.openxmlformats.org/spreadsheetml/2006/main" count="26" uniqueCount="25">
  <si>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</si>
  <si>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</si>
  <si>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</si>
  <si>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</si>
  <si>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</si>
  <si>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</si>
  <si>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</si>
  <si>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</si>
  <si>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</si>
  <si>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</si>
  <si>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</si>
  <si>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</si>
  <si>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</si>
  <si>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</si>
  <si>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</si>
  <si>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</si>
  <si>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 xml:space="preserve">Eufemio Martinez </t>
  </si>
  <si>
    <t>ISV 15 %</t>
  </si>
  <si>
    <t>BBDO Publicidad Garnier</t>
  </si>
  <si>
    <t>Tegucigalpa</t>
  </si>
  <si>
    <t xml:space="preserve">Audio de barra para evento </t>
  </si>
  <si>
    <t>Microfono inalambrico shure SM58</t>
  </si>
  <si>
    <t xml:space="preserve">Transporte de Activos y montaje </t>
  </si>
  <si>
    <t>Personal de staff</t>
  </si>
  <si>
    <t>2024-3064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</si>
</sst>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6" formatCode="[$-F800]dddd\,\ mmmm\ dd\,\ yyyy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0" fillId="0" borderId="2" xfId="0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4" fontId="0" fillId="3" borderId="3" xfId="2" applyNumberFormat="1" applyFont="1" applyBorder="1" applyAlignment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35</xdr:row>
      <xdr:rowOff>76200</xdr:rowOff>
    </xdr:from>
    <xdr:to>
      <xdr:col>7</xdr:col>
      <xdr:colOff>852805</xdr:colOff>
      <xdr:row>41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6" zoomScale="120" zoomScaleNormal="100" zoomScaleSheetLayoutView="112" zoomScalePageLayoutView="120" workbookViewId="0">
      <selection activeCell="D15" sqref="D15:E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9" t="s">
        <v>12</v>
      </c>
      <c r="I6" s="1"/>
    </row>
    <row r="7" spans="2:9">
      <c r="H7" s="26" t="s">
        <v>24</v>
      </c>
    </row>
    <row r="12" spans="2:9" ht="12.6" customHeight="1">
      <c r="B12" s="20" t="s">
        <v>15</v>
      </c>
      <c r="C12" s="20"/>
      <c r="D12" s="27" t="s">
        <v>18</v>
      </c>
      <c r="E12" s="21"/>
      <c r="F12" t="s">
        <v>11</v>
      </c>
      <c r="G12" s="18" t="s">
        <v>16</v>
      </c>
      <c r="H12" s="18"/>
    </row>
    <row r="13" spans="2:9" ht="14.4" customHeight="1">
      <c r="B13" s="20" t="s">
        <v>0</v>
      </c>
      <c r="C13" s="20"/>
      <c r="D13" s="27" t="s">
        <v>19</v>
      </c>
      <c r="E13" s="21"/>
      <c r="F13" s="21"/>
      <c r="G13" s="21"/>
    </row>
    <row r="14" spans="2:9">
      <c r="B14" s="1" t="s">
        <v>1</v>
      </c>
      <c r="C14" s="1" t="s">
        <v>2</v>
      </c>
      <c r="D14" s="14" t="s">
        <v>3</v>
      </c>
      <c r="E14" s="14"/>
      <c r="F14" s="14" t="s">
        <v>10</v>
      </c>
      <c r="G14" s="14"/>
      <c r="H14" s="1" t="s">
        <v>13</v>
      </c>
    </row>
    <row r="15" spans="2:9">
      <c r="B15" s="2">
        <v>45573</v>
      </c>
      <c r="C15" s="1"/>
      <c r="D15" s="29">
        <v>45574</v>
      </c>
      <c r="E15" s="30"/>
      <c r="F15" s="28" t="s">
        <v>14</v>
      </c>
      <c r="G15" s="18"/>
      <c r="H15" s="8"/>
    </row>
    <row r="16" spans="2:9" ht="15.6">
      <c r="B16" s="3" t="s">
        <v>4</v>
      </c>
      <c r="C16" s="3" t="s">
        <v>8</v>
      </c>
      <c r="D16" s="15" t="s">
        <v>5</v>
      </c>
      <c r="E16" s="15"/>
      <c r="F16" s="15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6" t="s">
        <v>20</v>
      </c>
      <c r="E17" s="17"/>
      <c r="F17" s="17"/>
      <c r="G17" s="10">
        <v>1800</v>
      </c>
      <c r="H17" s="6">
        <f>G17*B17*C17</f>
        <v>1800</v>
      </c>
    </row>
    <row r="18" spans="2:8">
      <c r="B18" s="4">
        <v>1</v>
      </c>
      <c r="C18" s="7">
        <v>1</v>
      </c>
      <c r="D18" s="16" t="s">
        <v>21</v>
      </c>
      <c r="E18" s="17"/>
      <c r="F18" s="17"/>
      <c r="G18" s="10">
        <v>2500</v>
      </c>
      <c r="H18" s="6">
        <f t="shared" ref="H18:H19" si="0">G18*B18*C18</f>
        <v>2500</v>
      </c>
    </row>
    <row r="19" spans="2:8">
      <c r="B19" s="4">
        <v>1</v>
      </c>
      <c r="C19" s="7">
        <v>1</v>
      </c>
      <c r="D19" s="16" t="s">
        <v>22</v>
      </c>
      <c r="E19" s="17"/>
      <c r="F19" s="17"/>
      <c r="G19" s="31">
        <v>1400</v>
      </c>
      <c r="H19" s="6">
        <f t="shared" si="0"/>
        <v>1400</v>
      </c>
    </row>
    <row r="20" spans="2:8">
      <c r="B20" s="4">
        <v>2</v>
      </c>
      <c r="C20" s="7">
        <v>1</v>
      </c>
      <c r="D20" s="16" t="s">
        <v>23</v>
      </c>
      <c r="E20" s="17"/>
      <c r="F20" s="17"/>
      <c r="G20" s="10">
        <v>700</v>
      </c>
      <c r="H20" s="6">
        <f t="shared" ref="H20:H26" si="1">G20*B20*C20</f>
        <v>1400</v>
      </c>
    </row>
    <row r="21" spans="2:8">
      <c r="B21" s="4"/>
      <c r="C21" s="7"/>
      <c r="D21" s="22"/>
      <c r="E21" s="23"/>
      <c r="F21" s="24"/>
      <c r="G21" s="10"/>
      <c r="H21" s="6">
        <f t="shared" si="1"/>
        <v>0</v>
      </c>
    </row>
    <row r="22" spans="2:8">
      <c r="B22" s="4"/>
      <c r="C22" s="7"/>
      <c r="D22" s="22"/>
      <c r="E22" s="23"/>
      <c r="F22" s="24"/>
      <c r="G22" s="10"/>
      <c r="H22" s="6">
        <f t="shared" si="1"/>
        <v>0</v>
      </c>
    </row>
    <row r="23" spans="2:8">
      <c r="B23" s="4"/>
      <c r="C23" s="7"/>
      <c r="D23" s="22"/>
      <c r="E23" s="23"/>
      <c r="F23" s="24"/>
      <c r="G23" s="10"/>
      <c r="H23" s="6">
        <f t="shared" si="1"/>
        <v>0</v>
      </c>
    </row>
    <row r="24" spans="2:8">
      <c r="B24" s="4"/>
      <c r="C24" s="7"/>
      <c r="D24" s="22"/>
      <c r="E24" s="23"/>
      <c r="F24" s="24"/>
      <c r="G24" s="10"/>
      <c r="H24" s="6">
        <f t="shared" si="1"/>
        <v>0</v>
      </c>
    </row>
    <row r="25" spans="2:8">
      <c r="B25" s="4"/>
      <c r="C25" s="7"/>
      <c r="D25" s="22"/>
      <c r="E25" s="23"/>
      <c r="F25" s="24"/>
      <c r="G25" s="10"/>
      <c r="H25" s="6">
        <f t="shared" si="1"/>
        <v>0</v>
      </c>
    </row>
    <row r="26" spans="2:8">
      <c r="B26" s="4"/>
      <c r="C26" s="7"/>
      <c r="D26" s="22"/>
      <c r="E26" s="23"/>
      <c r="F26" s="24"/>
      <c r="G26" s="10"/>
      <c r="H26" s="6">
        <f t="shared" si="1"/>
        <v>0</v>
      </c>
    </row>
    <row r="27" spans="2:8">
      <c r="D27" s="25"/>
      <c r="E27" s="25"/>
      <c r="F27" s="25"/>
      <c r="G27" s="11" t="s">
        <v>9</v>
      </c>
      <c r="H27" s="12">
        <f>SUM(H17:H26)</f>
        <v>7100</v>
      </c>
    </row>
    <row r="28" spans="2:8">
      <c r="G28" s="11" t="s">
        <v>17</v>
      </c>
      <c r="H28" s="13">
        <f>H27*0.15</f>
        <v>1065</v>
      </c>
    </row>
    <row r="29" spans="2:8">
      <c r="G29" s="11" t="s">
        <v>9</v>
      </c>
      <c r="H29" s="13">
        <f>H28+H27</f>
        <v>8165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2024-10-09T00:52:06Z</cp:lastPrinted>
  <dcterms:created xsi:type="dcterms:W3CDTF">2022-10-19T19:05:00Z</dcterms:created>
  <dcterms:modified xsi:type="dcterms:W3CDTF">2024-10-09T01:16:08Z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