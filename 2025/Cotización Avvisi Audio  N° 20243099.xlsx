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F778948-F849-4BFC-AA62-2E0E8855063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17" i="1"/>
  <c r="H25" i="1"/>
  <c r="H26" i="1"/>
  <c r="H27" i="1"/>
  <c r="H18" i="1"/>
  <c r="H19" i="1"/>
  <c r="H20" i="1"/>
  <c r="H21" i="1"/>
  <c r="H22" i="1"/>
  <c r="H23" i="1"/>
  <c r="H24" i="1"/>
  <c r="H28" i="1"/>
  <c r="H29" i="1"/>
  <c r="H34" i="1" l="1"/>
  <c r="H36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<sst xmlns="http://schemas.openxmlformats.org/spreadsheetml/2006/main" count="36" uniqueCount="35">
  <si>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</si>
  <si>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</si>
  <si>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</si>
  <si>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</si>
  <si>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</si>
  <si>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</si>
  <si>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</si>
  <si>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</si>
  <si>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</si>
  <si>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</si>
  <si>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</si>
  <si>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</si>
  <si>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</si>
  <si>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</si>
  <si>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</si>
  <si>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</si>
  <si>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</si>
  <si>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</si>
  <si>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 xml:space="preserve">Concierto </t>
  </si>
  <si>
    <t>Medios Dobles JBL PRX 825</t>
  </si>
  <si>
    <t xml:space="preserve">Bajos Dobles tornados </t>
  </si>
  <si>
    <t>Monitores de Piso Mackie thump 15 A</t>
  </si>
  <si>
    <t>Consola de audio 16 canales Mackie FX 16v</t>
  </si>
  <si>
    <t xml:space="preserve">Procesador digital </t>
  </si>
  <si>
    <t xml:space="preserve">Cajas directas </t>
  </si>
  <si>
    <t xml:space="preserve">Microfono Inalambrico Shure SM 58 </t>
  </si>
  <si>
    <t>Microfono Shure sm57</t>
  </si>
  <si>
    <t xml:space="preserve">Set de microfonos para bateria </t>
  </si>
  <si>
    <t xml:space="preserve">Centro de carga </t>
  </si>
  <si>
    <t xml:space="preserve">Tecnico de audio </t>
  </si>
  <si>
    <t>Luces roboticas 230w 7r</t>
  </si>
  <si>
    <t xml:space="preserve">Luces led </t>
  </si>
  <si>
    <t xml:space="preserve">Maquinas de Humo </t>
  </si>
  <si>
    <t xml:space="preserve">Traslado </t>
  </si>
  <si>
    <t>2024-3099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</si>
</sst>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729087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125768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42</xdr:row>
      <xdr:rowOff>266700</xdr:rowOff>
    </xdr:from>
    <xdr:to>
      <xdr:col>4</xdr:col>
      <xdr:colOff>118745</xdr:colOff>
      <xdr:row>47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42</xdr:row>
      <xdr:rowOff>292100</xdr:rowOff>
    </xdr:from>
    <xdr:to>
      <xdr:col>7</xdr:col>
      <xdr:colOff>827405</xdr:colOff>
      <xdr:row>44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view="pageLayout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3" t="s">
        <v>34</v>
      </c>
    </row>
    <row r="12" spans="2:9" ht="12.6" customHeight="1">
      <c r="B12" s="23" t="s">
        <v>14</v>
      </c>
      <c r="C12" s="23"/>
      <c r="D12" s="27"/>
      <c r="E12" s="25"/>
      <c r="F12" t="s">
        <v>11</v>
      </c>
      <c r="G12" s="21" t="s">
        <v>15</v>
      </c>
      <c r="H12" s="21"/>
    </row>
    <row r="13" spans="2:9" ht="14.4" customHeight="1">
      <c r="B13" s="23" t="s">
        <v>0</v>
      </c>
      <c r="C13" s="23"/>
      <c r="D13" s="24" t="s">
        <v>17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45640</v>
      </c>
      <c r="C15" s="1"/>
      <c r="D15" s="16">
        <v>45814</v>
      </c>
      <c r="E15" s="17"/>
      <c r="F15" s="32" t="s">
        <v>18</v>
      </c>
      <c r="G15" s="21"/>
      <c r="H15" s="8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4">
        <v>4</v>
      </c>
      <c r="C17" s="4">
        <v>1</v>
      </c>
      <c r="D17" s="19" t="s">
        <v>19</v>
      </c>
      <c r="E17" s="20"/>
      <c r="F17" s="20"/>
      <c r="G17" s="15">
        <v>1500</v>
      </c>
      <c r="H17" s="6">
        <f>G17*B17*C17</f>
        <v>6000</v>
      </c>
    </row>
    <row r="18" spans="2:8">
      <c r="B18" s="4">
        <v>2</v>
      </c>
      <c r="C18" s="7">
        <v>1</v>
      </c>
      <c r="D18" s="19" t="s">
        <v>20</v>
      </c>
      <c r="E18" s="20"/>
      <c r="F18" s="20"/>
      <c r="G18" s="10">
        <v>1000</v>
      </c>
      <c r="H18" s="6">
        <f t="shared" ref="H18:H28" si="0">G18*B18*C18</f>
        <v>2000</v>
      </c>
    </row>
    <row r="19" spans="2:8">
      <c r="B19" s="4">
        <v>3</v>
      </c>
      <c r="C19" s="7">
        <v>1</v>
      </c>
      <c r="D19" s="19" t="s">
        <v>21</v>
      </c>
      <c r="E19" s="20"/>
      <c r="F19" s="20"/>
      <c r="G19" s="14">
        <v>700</v>
      </c>
      <c r="H19" s="6">
        <f t="shared" si="0"/>
        <v>2100</v>
      </c>
    </row>
    <row r="20" spans="2:8">
      <c r="B20" s="4">
        <v>1</v>
      </c>
      <c r="C20" s="7">
        <v>1</v>
      </c>
      <c r="D20" s="19" t="s">
        <v>22</v>
      </c>
      <c r="E20" s="20"/>
      <c r="F20" s="20"/>
      <c r="G20" s="10">
        <v>1000</v>
      </c>
      <c r="H20" s="6">
        <f t="shared" si="0"/>
        <v>1000</v>
      </c>
    </row>
    <row r="21" spans="2:8">
      <c r="B21" s="4">
        <v>1</v>
      </c>
      <c r="C21" s="7">
        <v>1</v>
      </c>
      <c r="D21" s="19" t="s">
        <v>23</v>
      </c>
      <c r="E21" s="20"/>
      <c r="F21" s="20"/>
      <c r="G21" s="10">
        <v>1000</v>
      </c>
      <c r="H21" s="6">
        <f t="shared" si="0"/>
        <v>1000</v>
      </c>
    </row>
    <row r="22" spans="2:8">
      <c r="B22" s="4">
        <v>3</v>
      </c>
      <c r="C22" s="7">
        <v>1</v>
      </c>
      <c r="D22" s="19" t="s">
        <v>24</v>
      </c>
      <c r="E22" s="20"/>
      <c r="F22" s="20"/>
      <c r="G22" s="10">
        <v>300</v>
      </c>
      <c r="H22" s="6">
        <f t="shared" si="0"/>
        <v>900</v>
      </c>
    </row>
    <row r="23" spans="2:8">
      <c r="B23" s="4">
        <v>1</v>
      </c>
      <c r="C23" s="7">
        <v>1</v>
      </c>
      <c r="D23" s="28" t="s">
        <v>25</v>
      </c>
      <c r="E23" s="29"/>
      <c r="F23" s="30"/>
      <c r="G23" s="10">
        <v>450</v>
      </c>
      <c r="H23" s="6">
        <f t="shared" si="0"/>
        <v>450</v>
      </c>
    </row>
    <row r="24" spans="2:8">
      <c r="B24" s="4">
        <v>4</v>
      </c>
      <c r="C24" s="7">
        <v>1</v>
      </c>
      <c r="D24" s="28" t="s">
        <v>26</v>
      </c>
      <c r="E24" s="29"/>
      <c r="F24" s="30"/>
      <c r="G24" s="10">
        <v>450</v>
      </c>
      <c r="H24" s="6">
        <f t="shared" si="0"/>
        <v>1800</v>
      </c>
    </row>
    <row r="25" spans="2:8">
      <c r="B25" s="4">
        <v>1</v>
      </c>
      <c r="C25" s="7">
        <v>1</v>
      </c>
      <c r="D25" s="28" t="s">
        <v>27</v>
      </c>
      <c r="E25" s="29"/>
      <c r="F25" s="30"/>
      <c r="G25" s="10">
        <v>1500</v>
      </c>
      <c r="H25" s="6">
        <f t="shared" si="0"/>
        <v>1500</v>
      </c>
    </row>
    <row r="26" spans="2:8">
      <c r="B26" s="4">
        <v>1</v>
      </c>
      <c r="C26" s="7">
        <v>1</v>
      </c>
      <c r="D26" s="28" t="s">
        <v>28</v>
      </c>
      <c r="E26" s="29"/>
      <c r="F26" s="30"/>
      <c r="G26" s="10">
        <v>1500</v>
      </c>
      <c r="H26" s="6">
        <f t="shared" si="0"/>
        <v>1500</v>
      </c>
    </row>
    <row r="27" spans="2:8">
      <c r="B27" s="4">
        <v>1</v>
      </c>
      <c r="C27" s="7">
        <v>1</v>
      </c>
      <c r="D27" s="28" t="s">
        <v>29</v>
      </c>
      <c r="E27" s="29"/>
      <c r="F27" s="30"/>
      <c r="G27" s="10">
        <v>1000</v>
      </c>
      <c r="H27" s="6">
        <f t="shared" si="0"/>
        <v>1000</v>
      </c>
    </row>
    <row r="28" spans="2:8">
      <c r="B28" s="4">
        <v>4</v>
      </c>
      <c r="C28" s="7">
        <v>1</v>
      </c>
      <c r="D28" s="28" t="s">
        <v>30</v>
      </c>
      <c r="E28" s="29"/>
      <c r="F28" s="30"/>
      <c r="G28" s="10">
        <v>1000</v>
      </c>
      <c r="H28" s="6">
        <f t="shared" si="0"/>
        <v>4000</v>
      </c>
    </row>
    <row r="29" spans="2:8">
      <c r="B29" s="4">
        <v>8</v>
      </c>
      <c r="C29" s="7">
        <v>1</v>
      </c>
      <c r="D29" s="28" t="s">
        <v>31</v>
      </c>
      <c r="E29" s="29"/>
      <c r="F29" s="30"/>
      <c r="G29" s="10">
        <v>450</v>
      </c>
      <c r="H29" s="6">
        <f t="shared" ref="H29:H33" si="1">G29*B29*C29</f>
        <v>3600</v>
      </c>
    </row>
    <row r="30" spans="2:8">
      <c r="B30" s="4">
        <v>2</v>
      </c>
      <c r="C30" s="7">
        <v>1</v>
      </c>
      <c r="D30" s="28" t="s">
        <v>32</v>
      </c>
      <c r="E30" s="29"/>
      <c r="F30" s="30"/>
      <c r="G30" s="10">
        <v>1000</v>
      </c>
      <c r="H30" s="6">
        <f t="shared" si="1"/>
        <v>2000</v>
      </c>
    </row>
    <row r="31" spans="2:8">
      <c r="B31" s="4">
        <v>1</v>
      </c>
      <c r="C31" s="7">
        <v>1</v>
      </c>
      <c r="D31" s="28" t="s">
        <v>33</v>
      </c>
      <c r="E31" s="29"/>
      <c r="F31" s="30"/>
      <c r="G31" s="10">
        <v>10800</v>
      </c>
      <c r="H31" s="6">
        <f t="shared" si="1"/>
        <v>10800</v>
      </c>
    </row>
    <row r="32" spans="2:8">
      <c r="B32" s="4"/>
      <c r="C32" s="7"/>
      <c r="D32" s="28"/>
      <c r="E32" s="29"/>
      <c r="F32" s="30"/>
      <c r="G32" s="10"/>
      <c r="H32" s="6"/>
    </row>
    <row r="33" spans="2:8">
      <c r="B33" s="4"/>
      <c r="C33" s="7"/>
      <c r="D33" s="28"/>
      <c r="E33" s="29"/>
      <c r="F33" s="30"/>
      <c r="G33" s="10"/>
      <c r="H33" s="6"/>
    </row>
    <row r="34" spans="2:8">
      <c r="D34" s="31"/>
      <c r="E34" s="31"/>
      <c r="F34" s="31"/>
      <c r="G34" s="11" t="s">
        <v>9</v>
      </c>
      <c r="H34" s="12">
        <f>SUM(H17:H33)</f>
        <v>39650</v>
      </c>
    </row>
    <row r="35" spans="2:8">
      <c r="G35" s="11" t="s">
        <v>16</v>
      </c>
      <c r="H35" s="13"/>
    </row>
    <row r="36" spans="2:8">
      <c r="G36" s="11" t="s">
        <v>9</v>
      </c>
      <c r="H36" s="13">
        <f>H35+H34</f>
        <v>39650</v>
      </c>
    </row>
    <row r="43" spans="2:8" ht="31.2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29">
    <mergeCell ref="D33:F33"/>
    <mergeCell ref="D19:F19"/>
    <mergeCell ref="D30:F30"/>
    <mergeCell ref="D34:F34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  <mergeCell ref="D31:F31"/>
    <mergeCell ref="D32:F32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2024-11-26T04:12:43Z</cp:lastPrinted>
  <dcterms:created xsi:type="dcterms:W3CDTF">2022-10-19T19:05:00Z</dcterms:created>
  <dcterms:modified xsi:type="dcterms:W3CDTF">2024-12-14T18:36:09Z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