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E5B0A046-6B3D-4868-B363-08C9FF8D5E3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17" i="1"/>
  <c r="H18" i="1"/>
  <c r="H19" i="1"/>
  <c r="H20" i="1"/>
  <c r="H25" i="1" l="1"/>
  <c r="H26" i="1" s="1"/>
  <c r="H27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<sst xmlns="http://schemas.openxmlformats.org/spreadsheetml/2006/main" count="29" uniqueCount="28">
  <si>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</si>
  <si>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</si>
  <si>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</si>
  <si>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</si>
  <si>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</si>
  <si>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</si>
  <si>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</si>
  <si>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</si>
  <si>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</si>
  <si>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</si>
  <si>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</si>
  <si>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</si>
  <si>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</si>
  <si>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</si>
  <si>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</si>
  <si>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</si>
  <si>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Grupo Q </t>
  </si>
  <si>
    <t xml:space="preserve">Eufemio Martinez </t>
  </si>
  <si>
    <t>Activacion BTL</t>
  </si>
  <si>
    <t xml:space="preserve">Transporte </t>
  </si>
  <si>
    <t xml:space="preserve">8 de Febrero </t>
  </si>
  <si>
    <t xml:space="preserve">Audio y microfonia </t>
  </si>
  <si>
    <t xml:space="preserve">DJ Profesional </t>
  </si>
  <si>
    <t xml:space="preserve">DJ Booth </t>
  </si>
  <si>
    <t>Viaticos staff</t>
  </si>
  <si>
    <t xml:space="preserve">Luces roboticas en truss </t>
  </si>
  <si>
    <t>2025-051</t>
  </si>
  <si>
    <t>Lago de Yojoa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</si>
</sst>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0" fontId="0" fillId="3" borderId="5" xfId="2" applyFont="1" applyBorder="1" applyAlignment="1"/>
    <xf numFmtId="0" fontId="6" fillId="3" borderId="6" xfId="2" applyBorder="1" applyAlignment="1"/>
    <xf numFmtId="0" fontId="6" fillId="3" borderId="4" xfId="2" applyBorder="1" applyAlignment="1"/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/>
    <xf numFmtId="0" fontId="6" fillId="3" borderId="5" xfId="2" applyBorder="1" applyAlignment="1">
      <alignment horizontal="center"/>
    </xf>
    <xf numFmtId="0" fontId="6" fillId="3" borderId="6" xfId="2" applyBorder="1" applyAlignment="1">
      <alignment horizontal="center"/>
    </xf>
    <xf numFmtId="0" fontId="6" fillId="3" borderId="4" xfId="2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4" fontId="6" fillId="3" borderId="3" xfId="3" applyFill="1" applyBorder="1" applyAlignment="1"/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5" zoomScale="107" zoomScaleNormal="100" zoomScaleSheetLayoutView="112" zoomScalePageLayoutView="107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6" t="s">
        <v>12</v>
      </c>
      <c r="I6" s="1"/>
    </row>
    <row r="7" spans="2:9">
      <c r="H7" s="34" t="s">
        <v>26</v>
      </c>
    </row>
    <row r="12" spans="2:9" ht="12.6" customHeight="1">
      <c r="B12" s="24" t="s">
        <v>14</v>
      </c>
      <c r="C12" s="24"/>
      <c r="D12" s="27" t="s">
        <v>16</v>
      </c>
      <c r="E12" s="25"/>
      <c r="F12" t="s">
        <v>11</v>
      </c>
      <c r="G12" s="22" t="s">
        <v>17</v>
      </c>
      <c r="H12" s="22"/>
    </row>
    <row r="13" spans="2:9" ht="14.4" customHeight="1">
      <c r="B13" s="24" t="s">
        <v>0</v>
      </c>
      <c r="C13" s="24"/>
      <c r="D13" s="32" t="s">
        <v>27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45690</v>
      </c>
      <c r="C15" s="1"/>
      <c r="D15" s="33" t="s">
        <v>20</v>
      </c>
      <c r="E15" s="16"/>
      <c r="F15" s="21" t="s">
        <v>18</v>
      </c>
      <c r="G15" s="22"/>
      <c r="H15" s="5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11">
        <v>1</v>
      </c>
      <c r="C17" s="11">
        <v>1</v>
      </c>
      <c r="D17" s="18" t="s">
        <v>21</v>
      </c>
      <c r="E17" s="19"/>
      <c r="F17" s="20"/>
      <c r="G17" s="35">
        <v>3500</v>
      </c>
      <c r="H17" s="35">
        <f>G17*C17*B17</f>
        <v>3500</v>
      </c>
    </row>
    <row r="18" spans="2:8">
      <c r="B18" s="11">
        <v>2</v>
      </c>
      <c r="C18" s="11">
        <v>1</v>
      </c>
      <c r="D18" s="18" t="s">
        <v>25</v>
      </c>
      <c r="E18" s="19"/>
      <c r="F18" s="20"/>
      <c r="G18" s="35">
        <v>1000</v>
      </c>
      <c r="H18" s="35">
        <f t="shared" ref="H18:H24" si="0">G18*C18*B18</f>
        <v>2000</v>
      </c>
    </row>
    <row r="19" spans="2:8">
      <c r="B19" s="12">
        <v>1</v>
      </c>
      <c r="C19" s="12">
        <v>1</v>
      </c>
      <c r="D19" s="18" t="s">
        <v>22</v>
      </c>
      <c r="E19" s="19"/>
      <c r="F19" s="20"/>
      <c r="G19" s="35">
        <v>1000</v>
      </c>
      <c r="H19" s="35">
        <f t="shared" si="0"/>
        <v>1000</v>
      </c>
    </row>
    <row r="20" spans="2:8">
      <c r="B20" s="12">
        <v>1</v>
      </c>
      <c r="C20" s="12">
        <v>1</v>
      </c>
      <c r="D20" s="13" t="s">
        <v>23</v>
      </c>
      <c r="E20" s="14"/>
      <c r="F20" s="15"/>
      <c r="G20" s="35">
        <v>2500</v>
      </c>
      <c r="H20" s="35">
        <f t="shared" si="0"/>
        <v>2500</v>
      </c>
    </row>
    <row r="21" spans="2:8">
      <c r="B21" s="12">
        <v>1</v>
      </c>
      <c r="C21" s="12">
        <v>1</v>
      </c>
      <c r="D21" s="18" t="s">
        <v>19</v>
      </c>
      <c r="E21" s="19"/>
      <c r="F21" s="20"/>
      <c r="G21" s="35">
        <v>2800</v>
      </c>
      <c r="H21" s="35">
        <f t="shared" si="0"/>
        <v>2800</v>
      </c>
    </row>
    <row r="22" spans="2:8">
      <c r="B22" s="12">
        <v>1</v>
      </c>
      <c r="C22" s="12">
        <v>1</v>
      </c>
      <c r="D22" s="18" t="s">
        <v>24</v>
      </c>
      <c r="E22" s="19"/>
      <c r="F22" s="20"/>
      <c r="G22" s="35">
        <v>2500</v>
      </c>
      <c r="H22" s="35">
        <f t="shared" si="0"/>
        <v>2500</v>
      </c>
    </row>
    <row r="23" spans="2:8">
      <c r="B23" s="10"/>
      <c r="C23" s="10"/>
      <c r="D23" s="29"/>
      <c r="E23" s="30"/>
      <c r="F23" s="31"/>
      <c r="G23" s="35"/>
      <c r="H23" s="35">
        <f t="shared" si="0"/>
        <v>0</v>
      </c>
    </row>
    <row r="24" spans="2:8">
      <c r="B24" s="10"/>
      <c r="C24" s="10"/>
      <c r="D24" s="29"/>
      <c r="E24" s="30"/>
      <c r="F24" s="31"/>
      <c r="G24" s="35"/>
      <c r="H24" s="35">
        <f t="shared" si="0"/>
        <v>0</v>
      </c>
    </row>
    <row r="25" spans="2:8">
      <c r="D25" s="28"/>
      <c r="E25" s="28"/>
      <c r="F25" s="28"/>
      <c r="G25" s="7" t="s">
        <v>9</v>
      </c>
      <c r="H25" s="8">
        <f>SUM(H17:H24)</f>
        <v>14300</v>
      </c>
    </row>
    <row r="26" spans="2:8">
      <c r="G26" s="7" t="s">
        <v>15</v>
      </c>
      <c r="H26" s="9">
        <f>H25*0.15</f>
        <v>2145</v>
      </c>
    </row>
    <row r="27" spans="2:8">
      <c r="G27" s="7" t="s">
        <v>9</v>
      </c>
      <c r="H27" s="9">
        <f>H26+H25</f>
        <v>16445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5:F25"/>
    <mergeCell ref="D24:F24"/>
    <mergeCell ref="D23:F23"/>
    <mergeCell ref="D21:F21"/>
    <mergeCell ref="D22:F22"/>
    <mergeCell ref="B1:H1"/>
    <mergeCell ref="B12:C12"/>
    <mergeCell ref="B13:C13"/>
    <mergeCell ref="D13:G13"/>
    <mergeCell ref="D14:E14"/>
    <mergeCell ref="D12:E12"/>
    <mergeCell ref="G12:H12"/>
    <mergeCell ref="F14:G14"/>
    <mergeCell ref="D20:F20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2025-02-03T06:29:43Z</cp:lastPrinted>
  <dcterms:created xsi:type="dcterms:W3CDTF">2022-10-19T19:05:00Z</dcterms:created>
  <dcterms:modified xsi:type="dcterms:W3CDTF">2025-02-03T06:30:28Z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