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E1C4923-C6E5-45B9-B580-91B73652834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20" i="1"/>
  <c r="H21" i="1"/>
  <c r="H16" i="1"/>
  <c r="H22" i="1" l="1"/>
  <c r="H23" i="1" s="1"/>
  <c r="H24" i="1" l="1"/>
</calcChain>
</file>

<file path=xl/sharedStrings.xml><?xml version="1.0" encoding="utf-8"?>
<sst xmlns="http://schemas.openxmlformats.org/spreadsheetml/2006/main" count="24" uniqueCount="23">
  <si>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</si>
  <si>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</si>
  <si>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</si>
  <si>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</si>
  <si>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</si>
  <si>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</si>
  <si>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</si>
  <si>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</si>
  <si>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</si>
  <si>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</si>
  <si>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</si>
  <si>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</si>
  <si>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</si>
  <si>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</si>
  <si>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</si>
  <si>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</si>
  <si>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>Tegucigalpa</t>
  </si>
  <si>
    <t>Secia Euceda</t>
  </si>
  <si>
    <t>Audio profesional + Consola y 1 microfonos de mano</t>
  </si>
  <si>
    <t>Pantalla principal 3x2</t>
  </si>
  <si>
    <t>2025-237</t>
  </si>
  <si>
    <t>Boga House</t>
  </si>
  <si>
    <t>Social- pasarela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</si>
</sst>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_-&quot;L&quot;* #,##0.000_-;\-&quot;L&quot;* #,##0.000_-;_-&quot;L&quot;* &quot;-&quot;??_-;_-@_-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0" fillId="4" borderId="0" applyNumberFormat="0" applyBorder="0" applyAlignment="0" applyProtection="0"/>
    <xf numFmtId="0" fontId="11" fillId="3" borderId="0" applyNumberFormat="0" applyBorder="0" applyAlignment="0" applyProtection="0"/>
    <xf numFmtId="44" fontId="1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1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13" fillId="2" borderId="3" xfId="2" applyFont="1" applyFill="1" applyBorder="1" applyAlignment="1">
      <alignment horizontal="center"/>
    </xf>
    <xf numFmtId="164" fontId="13" fillId="2" borderId="3" xfId="2" applyNumberFormat="1" applyFont="1" applyFill="1" applyBorder="1"/>
    <xf numFmtId="164" fontId="14" fillId="2" borderId="3" xfId="0" applyNumberFormat="1" applyFont="1" applyFill="1" applyBorder="1"/>
    <xf numFmtId="0" fontId="9" fillId="2" borderId="8" xfId="1" applyFont="1" applyFill="1" applyBorder="1" applyAlignment="1">
      <alignment horizontal="center"/>
    </xf>
    <xf numFmtId="44" fontId="11" fillId="3" borderId="3" xfId="2" applyNumberFormat="1" applyBorder="1" applyAlignment="1"/>
    <xf numFmtId="44" fontId="11" fillId="3" borderId="3" xfId="3" applyFill="1" applyBorder="1" applyAlignment="1"/>
    <xf numFmtId="0" fontId="6" fillId="0" borderId="1" xfId="0" applyFont="1" applyBorder="1" applyAlignment="1">
      <alignment horizontal="center"/>
    </xf>
    <xf numFmtId="0" fontId="15" fillId="2" borderId="8" xfId="1" applyFont="1" applyFill="1" applyBorder="1" applyAlignment="1">
      <alignment horizontal="center"/>
    </xf>
    <xf numFmtId="44" fontId="0" fillId="3" borderId="3" xfId="2" applyNumberFormat="1" applyFont="1" applyBorder="1" applyAlignment="1"/>
    <xf numFmtId="165" fontId="11" fillId="3" borderId="3" xfId="3" applyNumberFormat="1" applyFill="1" applyBorder="1" applyAlignment="1"/>
    <xf numFmtId="0" fontId="1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6" xfId="0" applyNumberForma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3" fillId="3" borderId="5" xfId="2" applyFont="1" applyBorder="1" applyAlignment="1">
      <alignment horizontal="left"/>
    </xf>
    <xf numFmtId="0" fontId="3" fillId="3" borderId="6" xfId="2" applyFont="1" applyBorder="1" applyAlignment="1">
      <alignment horizontal="left"/>
    </xf>
    <xf numFmtId="0" fontId="3" fillId="3" borderId="4" xfId="2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9" fillId="2" borderId="8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5" xfId="2" applyFont="1" applyBorder="1" applyAlignment="1">
      <alignment horizontal="left" wrapText="1"/>
    </xf>
    <xf numFmtId="0" fontId="5" fillId="3" borderId="6" xfId="2" applyFont="1" applyBorder="1" applyAlignment="1">
      <alignment horizontal="left" wrapText="1"/>
    </xf>
    <xf numFmtId="0" fontId="5" fillId="3" borderId="4" xfId="2" applyFont="1" applyBorder="1" applyAlignment="1">
      <alignment horizontal="left" wrapText="1"/>
    </xf>
    <xf numFmtId="0" fontId="2" fillId="3" borderId="6" xfId="2" applyFont="1" applyBorder="1" applyAlignment="1">
      <alignment horizontal="left" wrapText="1"/>
    </xf>
    <xf numFmtId="0" fontId="2" fillId="3" borderId="4" xfId="2" applyFont="1" applyBorder="1" applyAlignment="1">
      <alignment horizontal="left" wrapText="1"/>
    </xf>
    <xf numFmtId="0" fontId="0" fillId="0" borderId="2" xfId="0" applyBorder="1"/>
    <xf numFmtId="0" fontId="11" fillId="3" borderId="6" xfId="2" applyBorder="1" applyAlignment="1">
      <alignment horizontal="left"/>
    </xf>
    <xf numFmtId="0" fontId="11" fillId="3" borderId="4" xfId="2" applyBorder="1" applyAlignment="1">
      <alignment horizontal="left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27</xdr:row>
      <xdr:rowOff>83925</xdr:rowOff>
    </xdr:from>
    <xdr:to>
      <xdr:col>1</xdr:col>
      <xdr:colOff>113617</xdr:colOff>
      <xdr:row>29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032443"/>
          <a:ext cx="50716" cy="32446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61934</xdr:rowOff>
    </xdr:from>
    <xdr:to>
      <xdr:col>8</xdr:col>
      <xdr:colOff>8885</xdr:colOff>
      <xdr:row>7</xdr:row>
      <xdr:rowOff>100705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1934"/>
          <a:ext cx="7288226" cy="1293830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21</xdr:row>
      <xdr:rowOff>163794</xdr:rowOff>
    </xdr:from>
    <xdr:to>
      <xdr:col>7</xdr:col>
      <xdr:colOff>847459</xdr:colOff>
      <xdr:row>32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30</xdr:row>
      <xdr:rowOff>1228103</xdr:rowOff>
    </xdr:from>
    <xdr:to>
      <xdr:col>4</xdr:col>
      <xdr:colOff>182839</xdr:colOff>
      <xdr:row>36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Martinez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30</xdr:row>
      <xdr:rowOff>1253501</xdr:rowOff>
    </xdr:from>
    <xdr:to>
      <xdr:col>8</xdr:col>
      <xdr:colOff>52800</xdr:colOff>
      <xdr:row>37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0"/>
  <sheetViews>
    <sheetView tabSelected="1" view="pageLayout" zoomScale="85" zoomScaleNormal="62" zoomScaleSheetLayoutView="112" zoomScalePageLayoutView="85" workbookViewId="0">
      <selection activeCell="I18" sqref="I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16.6640625" customWidth="1"/>
    <col min="7" max="7" width="12" customWidth="1"/>
    <col min="8" max="8" width="21.109375" customWidth="1"/>
    <col min="9" max="9" width="9.21875" customWidth="1"/>
  </cols>
  <sheetData>
    <row r="5" spans="2:9">
      <c r="H5" s="5" t="s">
        <v>10</v>
      </c>
      <c r="I5" s="1"/>
    </row>
    <row r="6" spans="2:9">
      <c r="H6" s="16" t="s">
        <v>20</v>
      </c>
    </row>
    <row r="11" spans="2:9" ht="12.6" customHeight="1">
      <c r="B11" s="19" t="s">
        <v>12</v>
      </c>
      <c r="C11" s="19"/>
      <c r="D11" s="40" t="s">
        <v>21</v>
      </c>
      <c r="E11" s="41"/>
      <c r="F11" t="s">
        <v>9</v>
      </c>
      <c r="G11" s="17" t="s">
        <v>17</v>
      </c>
      <c r="H11" s="18"/>
    </row>
    <row r="12" spans="2:9" ht="14.4" customHeight="1">
      <c r="B12" s="38" t="s">
        <v>0</v>
      </c>
      <c r="C12" s="38"/>
      <c r="D12" s="21" t="s">
        <v>16</v>
      </c>
      <c r="E12" s="22"/>
      <c r="F12" s="1" t="s">
        <v>13</v>
      </c>
      <c r="G12" s="20">
        <v>8019022423809</v>
      </c>
      <c r="H12" s="20"/>
    </row>
    <row r="13" spans="2:9">
      <c r="B13" s="1" t="s">
        <v>1</v>
      </c>
      <c r="C13" s="1" t="s">
        <v>2</v>
      </c>
      <c r="D13" s="39" t="s">
        <v>3</v>
      </c>
      <c r="E13" s="39"/>
      <c r="F13" s="19" t="s">
        <v>8</v>
      </c>
      <c r="G13" s="19"/>
      <c r="H13" s="1" t="s">
        <v>11</v>
      </c>
    </row>
    <row r="14" spans="2:9">
      <c r="B14" s="2">
        <v>45901</v>
      </c>
      <c r="C14" s="1"/>
      <c r="D14" s="26">
        <v>45949</v>
      </c>
      <c r="E14" s="27"/>
      <c r="F14" s="29" t="s">
        <v>22</v>
      </c>
      <c r="G14" s="18"/>
      <c r="H14" s="12">
        <v>350</v>
      </c>
    </row>
    <row r="15" spans="2:9" ht="15.6">
      <c r="B15" s="9" t="s">
        <v>4</v>
      </c>
      <c r="C15" s="13" t="s">
        <v>7</v>
      </c>
      <c r="D15" s="28"/>
      <c r="E15" s="28"/>
      <c r="F15" s="28"/>
      <c r="G15" s="9" t="s">
        <v>5</v>
      </c>
      <c r="H15" s="9" t="s">
        <v>6</v>
      </c>
    </row>
    <row r="16" spans="2:9">
      <c r="B16" s="3">
        <v>1</v>
      </c>
      <c r="C16" s="3">
        <v>1</v>
      </c>
      <c r="D16" s="30" t="s">
        <v>18</v>
      </c>
      <c r="E16" s="31"/>
      <c r="F16" s="32"/>
      <c r="G16" s="11">
        <v>3500</v>
      </c>
      <c r="H16" s="11">
        <f>G16*B16*C16</f>
        <v>3500</v>
      </c>
    </row>
    <row r="17" spans="2:8" ht="16.8" customHeight="1">
      <c r="B17" s="3">
        <v>1</v>
      </c>
      <c r="C17" s="3">
        <v>1</v>
      </c>
      <c r="D17" s="30" t="s">
        <v>19</v>
      </c>
      <c r="E17" s="31"/>
      <c r="F17" s="32"/>
      <c r="G17" s="11">
        <v>8000</v>
      </c>
      <c r="H17" s="11">
        <f>G17*B17*C17</f>
        <v>8000</v>
      </c>
    </row>
    <row r="18" spans="2:8" ht="16.8" customHeight="1">
      <c r="B18" s="3"/>
      <c r="C18" s="3"/>
      <c r="D18" s="30"/>
      <c r="E18" s="33"/>
      <c r="F18" s="34"/>
      <c r="G18" s="11"/>
      <c r="H18" s="11">
        <f>G18*B18*C18</f>
        <v>0</v>
      </c>
    </row>
    <row r="19" spans="2:8" ht="16.8" customHeight="1">
      <c r="B19" s="3"/>
      <c r="C19" s="3"/>
      <c r="D19" s="30"/>
      <c r="E19" s="33"/>
      <c r="F19" s="34"/>
      <c r="G19" s="11"/>
      <c r="H19" s="11">
        <f>G19*B19*C19</f>
        <v>0</v>
      </c>
    </row>
    <row r="20" spans="2:8">
      <c r="B20" s="3"/>
      <c r="C20" s="3"/>
      <c r="D20" s="23"/>
      <c r="E20" s="24"/>
      <c r="F20" s="25"/>
      <c r="G20" s="10"/>
      <c r="H20" s="11">
        <f t="shared" ref="H20" si="0">G20*B20*C20</f>
        <v>0</v>
      </c>
    </row>
    <row r="21" spans="2:8">
      <c r="B21" s="3"/>
      <c r="C21" s="3"/>
      <c r="D21" s="23"/>
      <c r="E21" s="36"/>
      <c r="F21" s="37"/>
      <c r="G21" s="14"/>
      <c r="H21" s="15">
        <f t="shared" ref="H21" si="1">G21*B21*C21</f>
        <v>0</v>
      </c>
    </row>
    <row r="22" spans="2:8">
      <c r="D22" s="35"/>
      <c r="E22" s="35"/>
      <c r="F22" s="35"/>
      <c r="G22" s="6" t="s">
        <v>15</v>
      </c>
      <c r="H22" s="7">
        <f>SUM(H16:H21)</f>
        <v>11500</v>
      </c>
    </row>
    <row r="23" spans="2:8">
      <c r="G23" s="6" t="s">
        <v>14</v>
      </c>
      <c r="H23" s="8">
        <f>H22*0.15</f>
        <v>1725</v>
      </c>
    </row>
    <row r="24" spans="2:8">
      <c r="G24" s="6" t="s">
        <v>6</v>
      </c>
      <c r="H24" s="8">
        <f>H22+H23</f>
        <v>13225</v>
      </c>
    </row>
    <row r="31" spans="2:8" ht="126.6" customHeight="1"/>
    <row r="33" spans="2:8" ht="27.6" customHeight="1"/>
    <row r="34" spans="2:8" ht="5.4" customHeight="1">
      <c r="B34" s="4"/>
      <c r="C34" s="4"/>
      <c r="D34" s="4"/>
      <c r="E34" s="4"/>
      <c r="F34" s="4"/>
      <c r="G34" s="4"/>
      <c r="H34" s="4"/>
    </row>
    <row r="36" spans="2:8" ht="25.2" customHeight="1"/>
    <row r="43" spans="2:8" ht="21" customHeight="1"/>
    <row r="45" spans="2:8" ht="1.95" customHeight="1"/>
    <row r="46" spans="2:8" ht="7.95" customHeight="1"/>
    <row r="47" spans="2:8" ht="16.05" customHeight="1"/>
    <row r="49" ht="6" customHeight="1"/>
    <row r="50" ht="9.75" customHeight="1"/>
  </sheetData>
  <mergeCells count="18">
    <mergeCell ref="D22:F22"/>
    <mergeCell ref="D21:F21"/>
    <mergeCell ref="B11:C11"/>
    <mergeCell ref="B12:C12"/>
    <mergeCell ref="D13:E13"/>
    <mergeCell ref="D11:E11"/>
    <mergeCell ref="G11:H11"/>
    <mergeCell ref="F13:G13"/>
    <mergeCell ref="G12:H12"/>
    <mergeCell ref="D12:E12"/>
    <mergeCell ref="D20:F20"/>
    <mergeCell ref="D14:E14"/>
    <mergeCell ref="D15:F15"/>
    <mergeCell ref="F14:G14"/>
    <mergeCell ref="D16:F16"/>
    <mergeCell ref="D17:F17"/>
    <mergeCell ref="D18:F18"/>
    <mergeCell ref="D19:F19"/>
  </mergeCells>
  <phoneticPr fontId="12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2025-09-01T18:27:08Z</cp:lastPrinted>
  <dcterms:created xsi:type="dcterms:W3CDTF">2022-10-19T19:05:00Z</dcterms:created>
  <dcterms:modified xsi:type="dcterms:W3CDTF">2025-09-05T20:12:49Z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