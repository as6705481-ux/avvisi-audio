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0DA74BE5-F12A-4800-9AC4-7D846640528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1" i="1"/>
  <c r="H22" i="1"/>
  <c r="H23" i="1"/>
  <c r="H17" i="1"/>
  <c r="H19" i="1"/>
  <c r="H20" i="1"/>
  <c r="H24" i="1" l="1"/>
  <c r="H25" i="1" s="1"/>
  <c r="H26" i="1" l="1"/>
</calcChain>
</file>

<file path=xl/sharedStrings.xml><?xml version="1.0" encoding="utf-8"?>
<sst xmlns="http://schemas.openxmlformats.org/spreadsheetml/2006/main" count="26" uniqueCount="26">
  <si>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</si>
  <si>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</si>
  <si>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</si>
  <si>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</si>
  <si>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</si>
  <si>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</si>
  <si>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</si>
  <si>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</si>
  <si>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</si>
  <si>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</si>
  <si>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</si>
  <si>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</si>
  <si>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</si>
  <si>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</si>
  <si>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</si>
  <si>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</si>
  <si>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 xml:space="preserve">Evento Corporativo </t>
  </si>
  <si>
    <t>ISV 15%</t>
  </si>
  <si>
    <t xml:space="preserve">Eufemio  Martinez </t>
  </si>
  <si>
    <t>Importadora de vehiculos Y repuestos S.A.</t>
  </si>
  <si>
    <t xml:space="preserve">6, 7 y 8 de Febrero </t>
  </si>
  <si>
    <t xml:space="preserve">Audio y animacion </t>
  </si>
  <si>
    <t xml:space="preserve">Comayagua </t>
  </si>
  <si>
    <t xml:space="preserve">Perifoneo 2 horas </t>
  </si>
  <si>
    <t>2 horas</t>
  </si>
  <si>
    <t>2025-046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</si>
</sst>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1" fillId="2" borderId="0" xfId="0" applyFont="1" applyFill="1"/>
    <xf numFmtId="0" fontId="0" fillId="5" borderId="0" xfId="0" applyFill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7</xdr:col>
      <xdr:colOff>1099594</xdr:colOff>
      <xdr:row>34</xdr:row>
      <xdr:rowOff>28936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4321034"/>
          <a:ext cx="6626506" cy="210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37</xdr:row>
      <xdr:rowOff>292945</xdr:rowOff>
    </xdr:from>
    <xdr:to>
      <xdr:col>4</xdr:col>
      <xdr:colOff>91431</xdr:colOff>
      <xdr:row>40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37</xdr:row>
      <xdr:rowOff>219317</xdr:rowOff>
    </xdr:from>
    <xdr:to>
      <xdr:col>7</xdr:col>
      <xdr:colOff>742709</xdr:colOff>
      <xdr:row>41</xdr:row>
      <xdr:rowOff>90076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33</xdr:row>
      <xdr:rowOff>94537</xdr:rowOff>
    </xdr:from>
    <xdr:to>
      <xdr:col>4</xdr:col>
      <xdr:colOff>250782</xdr:colOff>
      <xdr:row>41</xdr:row>
      <xdr:rowOff>9646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4" t="s">
        <v>12</v>
      </c>
      <c r="I6" s="1"/>
    </row>
    <row r="7" spans="2:9">
      <c r="H7" s="33" t="s">
        <v>25</v>
      </c>
    </row>
    <row r="12" spans="2:9" ht="12.6" customHeight="1">
      <c r="B12" s="14" t="s">
        <v>13</v>
      </c>
      <c r="C12" s="27" t="s">
        <v>19</v>
      </c>
      <c r="D12" s="27"/>
      <c r="E12" s="27"/>
      <c r="F12" t="s">
        <v>11</v>
      </c>
      <c r="G12" s="24" t="s">
        <v>18</v>
      </c>
      <c r="H12" s="24"/>
    </row>
    <row r="13" spans="2:9" ht="14.4" customHeight="1">
      <c r="B13" s="26" t="s">
        <v>0</v>
      </c>
      <c r="C13" s="26"/>
      <c r="D13" s="27" t="s">
        <v>22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45690</v>
      </c>
      <c r="C15" s="1" t="s">
        <v>24</v>
      </c>
      <c r="D15" s="17" t="s">
        <v>20</v>
      </c>
      <c r="E15" s="18"/>
      <c r="F15" s="23" t="s">
        <v>16</v>
      </c>
      <c r="G15" s="24"/>
      <c r="H15" s="10">
        <v>801902323546897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8">
        <v>1</v>
      </c>
      <c r="C17" s="8">
        <v>3</v>
      </c>
      <c r="D17" s="20" t="s">
        <v>21</v>
      </c>
      <c r="E17" s="21"/>
      <c r="F17" s="22"/>
      <c r="G17" s="11">
        <v>2500</v>
      </c>
      <c r="H17" s="12">
        <f>G17*B17*C17</f>
        <v>7500</v>
      </c>
    </row>
    <row r="18" spans="2:8">
      <c r="B18" s="8">
        <v>1</v>
      </c>
      <c r="C18" s="8">
        <v>3</v>
      </c>
      <c r="D18" s="20" t="s">
        <v>23</v>
      </c>
      <c r="E18" s="21"/>
      <c r="F18" s="22"/>
      <c r="G18" s="11">
        <v>1200</v>
      </c>
      <c r="H18" s="12">
        <f>G18*B18*C18</f>
        <v>3600</v>
      </c>
    </row>
    <row r="19" spans="2:8">
      <c r="B19" s="9"/>
      <c r="C19" s="9"/>
      <c r="D19" s="20"/>
      <c r="E19" s="21"/>
      <c r="F19" s="22"/>
      <c r="G19" s="13"/>
      <c r="H19" s="12">
        <f t="shared" ref="H19:H23" si="0">G19*B19</f>
        <v>0</v>
      </c>
    </row>
    <row r="20" spans="2:8">
      <c r="B20" s="9"/>
      <c r="C20" s="9"/>
      <c r="D20" s="20"/>
      <c r="E20" s="21"/>
      <c r="F20" s="22"/>
      <c r="G20" s="11"/>
      <c r="H20" s="12">
        <f t="shared" si="0"/>
        <v>0</v>
      </c>
    </row>
    <row r="21" spans="2:8">
      <c r="B21" s="9"/>
      <c r="C21" s="9"/>
      <c r="D21" s="20"/>
      <c r="E21" s="30"/>
      <c r="F21" s="31"/>
      <c r="G21" s="11"/>
      <c r="H21" s="12">
        <f t="shared" si="0"/>
        <v>0</v>
      </c>
    </row>
    <row r="22" spans="2:8">
      <c r="B22" s="9"/>
      <c r="C22" s="9"/>
      <c r="D22" s="20"/>
      <c r="E22" s="30"/>
      <c r="F22" s="31"/>
      <c r="G22" s="11"/>
      <c r="H22" s="12">
        <f t="shared" si="0"/>
        <v>0</v>
      </c>
    </row>
    <row r="23" spans="2:8">
      <c r="B23" s="9"/>
      <c r="C23" s="9"/>
      <c r="D23" s="20"/>
      <c r="E23" s="30"/>
      <c r="F23" s="31"/>
      <c r="G23" s="11"/>
      <c r="H23" s="12">
        <f t="shared" si="0"/>
        <v>0</v>
      </c>
    </row>
    <row r="24" spans="2:8">
      <c r="D24" s="32"/>
      <c r="E24" s="32"/>
      <c r="F24" s="32"/>
      <c r="G24" s="5" t="s">
        <v>9</v>
      </c>
      <c r="H24" s="6">
        <f>SUM(H17:H23)</f>
        <v>11100</v>
      </c>
    </row>
    <row r="25" spans="2:8">
      <c r="G25" s="5" t="s">
        <v>17</v>
      </c>
      <c r="H25" s="7">
        <f>H24*0.15</f>
        <v>1665</v>
      </c>
    </row>
    <row r="26" spans="2:8">
      <c r="G26" s="5" t="s">
        <v>15</v>
      </c>
      <c r="H26" s="7">
        <f>H25+H24</f>
        <v>12765</v>
      </c>
    </row>
    <row r="32" spans="2:8" ht="31.8" customHeight="1"/>
    <row r="33" spans="2:8" ht="10.199999999999999" customHeight="1"/>
    <row r="35" spans="2:8" ht="27.6" customHeight="1"/>
    <row r="36" spans="2:8" ht="5.4" customHeight="1">
      <c r="D36" s="16"/>
      <c r="E36" s="16"/>
      <c r="F36" s="16"/>
      <c r="G36" s="16"/>
      <c r="H36" s="16"/>
    </row>
    <row r="38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21:F21"/>
    <mergeCell ref="D22:F22"/>
    <mergeCell ref="D24:F24"/>
    <mergeCell ref="D20:F20"/>
    <mergeCell ref="D23:F23"/>
    <mergeCell ref="B1:H1"/>
    <mergeCell ref="B13:C13"/>
    <mergeCell ref="D13:G13"/>
    <mergeCell ref="D14:E14"/>
    <mergeCell ref="G12:H12"/>
    <mergeCell ref="F14:G14"/>
    <mergeCell ref="C12:E12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2025-02-03T05:29:37Z</cp:lastPrinted>
  <dcterms:created xsi:type="dcterms:W3CDTF">2022-10-19T19:05:00Z</dcterms:created>
  <dcterms:modified xsi:type="dcterms:W3CDTF">2025-02-03T05:31:14Z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