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05F46A94-4CD6-42DB-9795-D048470E0B06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7" i="1"/>
  <c r="H20" i="1"/>
  <c r="H21" i="1"/>
  <c r="H22" i="1"/>
  <c r="H19" i="1"/>
  <c r="H23" i="1" l="1"/>
  <c r="H24" i="1" s="1"/>
  <c r="H25" i="1" s="1"/>
</calcChain>
</file>

<file path=xl/sharedStrings.xml><?xml version="1.0" encoding="utf-8"?>
<sst xmlns="http://schemas.openxmlformats.org/spreadsheetml/2006/main" count="29" uniqueCount="28">
  <si>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</si>
  <si>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</si>
  <si>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</si>
  <si>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</si>
  <si>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</si>
  <si>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</si>
  <si>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</si>
  <si>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</si>
  <si>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</si>
  <si>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</si>
  <si>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</si>
  <si>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</si>
  <si>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</si>
  <si>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</si>
  <si>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</si>
  <si>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</si>
  <si>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 xml:space="preserve">Eufemio Martinez </t>
  </si>
  <si>
    <t xml:space="preserve">14,15,16 de Febrero </t>
  </si>
  <si>
    <t>Feria de Credito</t>
  </si>
  <si>
    <t>Rompe filas 15x8</t>
  </si>
  <si>
    <t xml:space="preserve">Mesa con Licra Fuscia </t>
  </si>
  <si>
    <t>Animador con audio</t>
  </si>
  <si>
    <t>Edecanes</t>
  </si>
  <si>
    <t xml:space="preserve">Sillas Tifanny </t>
  </si>
  <si>
    <t>San Pedro Sula</t>
  </si>
  <si>
    <t>Tiendas Lady Lee</t>
  </si>
  <si>
    <t>2025-052</t>
  </si>
  <si>
    <t>Totem Led 2x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</si>
</sst>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L&quot;* #,##0.00_-;\-&quot;L&quot;* #,##0.00_-;_-&quot;L&quot;* &quot;-&quot;??_-;_-@_-"/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  <xf numFmtId="44" fontId="6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0" fontId="6" fillId="3" borderId="3" xfId="2" applyBorder="1" applyAlignment="1">
      <alignment horizontal="center" vertical="center"/>
    </xf>
    <xf numFmtId="0" fontId="6" fillId="3" borderId="3" xfId="2" applyBorder="1" applyAlignment="1">
      <alignment horizontal="center"/>
    </xf>
    <xf numFmtId="44" fontId="6" fillId="3" borderId="3" xfId="3" applyFill="1" applyBorder="1" applyAlignment="1"/>
    <xf numFmtId="44" fontId="6" fillId="3" borderId="8" xfId="3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3" borderId="5" xfId="2" applyFont="1" applyBorder="1" applyAlignment="1"/>
    <xf numFmtId="0" fontId="6" fillId="3" borderId="6" xfId="2" applyBorder="1" applyAlignment="1"/>
    <xf numFmtId="0" fontId="6" fillId="3" borderId="4" xfId="2" applyBorder="1" applyAlignment="1"/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3" borderId="5" xfId="2" applyFont="1" applyBorder="1" applyAlignment="1">
      <alignment horizontal="left"/>
    </xf>
    <xf numFmtId="0" fontId="6" fillId="3" borderId="6" xfId="2" applyBorder="1" applyAlignment="1">
      <alignment horizontal="left"/>
    </xf>
    <xf numFmtId="0" fontId="6" fillId="3" borderId="4" xfId="2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/>
    <xf numFmtId="0" fontId="1" fillId="0" borderId="1" xfId="0" applyFont="1" applyBorder="1" applyAlignment="1">
      <alignment horizontal="left"/>
    </xf>
  </cellXfs>
  <cellStyles count="4">
    <cellStyle name="20% - Énfasis2" xfId="2" builtinId="34"/>
    <cellStyle name="Énfasis2" xfId="1" builtinId="3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28</xdr:row>
      <xdr:rowOff>83925</xdr:rowOff>
    </xdr:from>
    <xdr:to>
      <xdr:col>1</xdr:col>
      <xdr:colOff>113617</xdr:colOff>
      <xdr:row>30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5254131"/>
          <a:ext cx="50716" cy="336196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685715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0</xdr:colOff>
      <xdr:row>22</xdr:row>
      <xdr:rowOff>163794</xdr:rowOff>
    </xdr:from>
    <xdr:to>
      <xdr:col>6</xdr:col>
      <xdr:colOff>783365</xdr:colOff>
      <xdr:row>33</xdr:row>
      <xdr:rowOff>55382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4593364"/>
          <a:ext cx="5647346" cy="25336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31</xdr:row>
      <xdr:rowOff>601411</xdr:rowOff>
    </xdr:from>
    <xdr:to>
      <xdr:col>4</xdr:col>
      <xdr:colOff>168596</xdr:colOff>
      <xdr:row>33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31</xdr:row>
      <xdr:rowOff>612567</xdr:rowOff>
    </xdr:from>
    <xdr:to>
      <xdr:col>7</xdr:col>
      <xdr:colOff>991200</xdr:colOff>
      <xdr:row>35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28</xdr:row>
      <xdr:rowOff>149553</xdr:rowOff>
    </xdr:from>
    <xdr:to>
      <xdr:col>4</xdr:col>
      <xdr:colOff>628779</xdr:colOff>
      <xdr:row>35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01030"/>
          <a:ext cx="3128424" cy="185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1"/>
  <sheetViews>
    <sheetView tabSelected="1" view="pageLayout" topLeftCell="A8" zoomScale="107" zoomScaleNormal="100" zoomScaleSheetLayoutView="112" zoomScalePageLayoutView="107" workbookViewId="0">
      <selection activeCell="B15" sqref="B15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44140625" customWidth="1"/>
    <col min="9" max="9" width="9.21875" customWidth="1"/>
  </cols>
  <sheetData>
    <row r="1" spans="2:9">
      <c r="B1" s="26"/>
      <c r="C1" s="26"/>
      <c r="D1" s="26"/>
      <c r="E1" s="26"/>
      <c r="F1" s="26"/>
      <c r="G1" s="26"/>
      <c r="H1" s="26"/>
    </row>
    <row r="6" spans="2:9">
      <c r="H6" s="6" t="s">
        <v>12</v>
      </c>
      <c r="I6" s="1"/>
    </row>
    <row r="7" spans="2:9">
      <c r="H7" s="14" t="s">
        <v>26</v>
      </c>
    </row>
    <row r="12" spans="2:9" ht="12.6" customHeight="1">
      <c r="B12" s="27" t="s">
        <v>14</v>
      </c>
      <c r="C12" s="27"/>
      <c r="D12" s="32" t="s">
        <v>25</v>
      </c>
      <c r="E12" s="29"/>
      <c r="F12" t="s">
        <v>11</v>
      </c>
      <c r="G12" s="25" t="s">
        <v>16</v>
      </c>
      <c r="H12" s="25"/>
    </row>
    <row r="13" spans="2:9" ht="14.4" customHeight="1">
      <c r="B13" s="27" t="s">
        <v>0</v>
      </c>
      <c r="C13" s="27"/>
      <c r="D13" s="28" t="s">
        <v>24</v>
      </c>
      <c r="E13" s="29"/>
      <c r="F13" s="29"/>
      <c r="G13" s="29"/>
    </row>
    <row r="14" spans="2:9">
      <c r="B14" s="1" t="s">
        <v>1</v>
      </c>
      <c r="C14" s="1" t="s">
        <v>2</v>
      </c>
      <c r="D14" s="30" t="s">
        <v>3</v>
      </c>
      <c r="E14" s="30"/>
      <c r="F14" s="30" t="s">
        <v>10</v>
      </c>
      <c r="G14" s="30"/>
      <c r="H14" s="1" t="s">
        <v>13</v>
      </c>
    </row>
    <row r="15" spans="2:9">
      <c r="B15" s="2">
        <v>45693</v>
      </c>
      <c r="C15" s="1"/>
      <c r="D15" s="18" t="s">
        <v>17</v>
      </c>
      <c r="E15" s="19"/>
      <c r="F15" s="24" t="s">
        <v>18</v>
      </c>
      <c r="G15" s="25"/>
      <c r="H15" s="5"/>
    </row>
    <row r="16" spans="2:9" ht="15.6">
      <c r="B16" s="3" t="s">
        <v>4</v>
      </c>
      <c r="C16" s="3" t="s">
        <v>8</v>
      </c>
      <c r="D16" s="20" t="s">
        <v>5</v>
      </c>
      <c r="E16" s="20"/>
      <c r="F16" s="20"/>
      <c r="G16" s="3" t="s">
        <v>6</v>
      </c>
      <c r="H16" s="3" t="s">
        <v>7</v>
      </c>
    </row>
    <row r="17" spans="2:8">
      <c r="B17" s="10">
        <v>1</v>
      </c>
      <c r="C17" s="10">
        <v>3</v>
      </c>
      <c r="D17" s="21" t="s">
        <v>27</v>
      </c>
      <c r="E17" s="22"/>
      <c r="F17" s="23"/>
      <c r="G17" s="13">
        <v>4000</v>
      </c>
      <c r="H17" s="13">
        <f>G17*C17*B17</f>
        <v>12000</v>
      </c>
    </row>
    <row r="18" spans="2:8">
      <c r="B18" s="11">
        <v>30</v>
      </c>
      <c r="C18" s="10">
        <v>3</v>
      </c>
      <c r="D18" s="21" t="s">
        <v>19</v>
      </c>
      <c r="E18" s="22"/>
      <c r="F18" s="23"/>
      <c r="G18" s="12">
        <v>150</v>
      </c>
      <c r="H18" s="12">
        <f>G18*C18*B18</f>
        <v>13500</v>
      </c>
    </row>
    <row r="19" spans="2:8">
      <c r="B19" s="11">
        <v>1</v>
      </c>
      <c r="C19" s="10">
        <v>3</v>
      </c>
      <c r="D19" s="15" t="s">
        <v>20</v>
      </c>
      <c r="E19" s="16"/>
      <c r="F19" s="17"/>
      <c r="G19" s="12">
        <v>1000</v>
      </c>
      <c r="H19" s="12">
        <f t="shared" ref="H19:H22" si="0">G19*C19*B19</f>
        <v>3000</v>
      </c>
    </row>
    <row r="20" spans="2:8">
      <c r="B20" s="11">
        <v>1</v>
      </c>
      <c r="C20" s="10">
        <v>3</v>
      </c>
      <c r="D20" s="21" t="s">
        <v>21</v>
      </c>
      <c r="E20" s="22"/>
      <c r="F20" s="23"/>
      <c r="G20" s="12">
        <v>3000</v>
      </c>
      <c r="H20" s="12">
        <f t="shared" si="0"/>
        <v>9000</v>
      </c>
    </row>
    <row r="21" spans="2:8">
      <c r="B21" s="11">
        <v>2</v>
      </c>
      <c r="C21" s="10">
        <v>3</v>
      </c>
      <c r="D21" s="21" t="s">
        <v>22</v>
      </c>
      <c r="E21" s="22"/>
      <c r="F21" s="23"/>
      <c r="G21" s="12">
        <v>2500</v>
      </c>
      <c r="H21" s="12">
        <f t="shared" si="0"/>
        <v>15000</v>
      </c>
    </row>
    <row r="22" spans="2:8">
      <c r="B22" s="11">
        <v>3</v>
      </c>
      <c r="C22" s="11">
        <v>3</v>
      </c>
      <c r="D22" s="21" t="s">
        <v>23</v>
      </c>
      <c r="E22" s="22"/>
      <c r="F22" s="23"/>
      <c r="G22" s="12">
        <v>100</v>
      </c>
      <c r="H22" s="12">
        <f t="shared" si="0"/>
        <v>900</v>
      </c>
    </row>
    <row r="23" spans="2:8">
      <c r="D23" s="31"/>
      <c r="E23" s="31"/>
      <c r="F23" s="31"/>
      <c r="G23" s="7" t="s">
        <v>9</v>
      </c>
      <c r="H23" s="8">
        <f>SUM(H17:H22)</f>
        <v>53400</v>
      </c>
    </row>
    <row r="24" spans="2:8">
      <c r="G24" s="7" t="s">
        <v>15</v>
      </c>
      <c r="H24" s="9">
        <f>H23*0.15</f>
        <v>8010</v>
      </c>
    </row>
    <row r="25" spans="2:8">
      <c r="G25" s="7" t="s">
        <v>9</v>
      </c>
      <c r="H25" s="9">
        <f>H24+H23</f>
        <v>61410</v>
      </c>
    </row>
    <row r="32" spans="2:8" ht="62.4" customHeight="1"/>
    <row r="34" spans="2:8" ht="27.6" customHeight="1"/>
    <row r="35" spans="2:8" ht="5.4" customHeight="1">
      <c r="B35" s="4"/>
      <c r="C35" s="4"/>
      <c r="D35" s="4"/>
      <c r="E35" s="4"/>
      <c r="F35" s="4"/>
      <c r="G35" s="4"/>
      <c r="H35" s="4"/>
    </row>
    <row r="37" spans="2:8" ht="25.2" customHeight="1"/>
    <row r="44" spans="2:8" ht="21" customHeight="1"/>
    <row r="46" spans="2:8" ht="1.95" customHeight="1"/>
    <row r="47" spans="2:8" ht="7.95" customHeight="1"/>
    <row r="48" spans="2:8" ht="16.05" customHeight="1"/>
    <row r="50" ht="6" customHeight="1"/>
    <row r="51" ht="9.75" customHeight="1"/>
  </sheetData>
  <mergeCells count="18">
    <mergeCell ref="D23:F23"/>
    <mergeCell ref="D22:F22"/>
    <mergeCell ref="D20:F20"/>
    <mergeCell ref="D21:F21"/>
    <mergeCell ref="B1:H1"/>
    <mergeCell ref="B12:C12"/>
    <mergeCell ref="B13:C13"/>
    <mergeCell ref="D13:G13"/>
    <mergeCell ref="D14:E14"/>
    <mergeCell ref="D12:E12"/>
    <mergeCell ref="G12:H12"/>
    <mergeCell ref="F14:G14"/>
    <mergeCell ref="D19:F19"/>
    <mergeCell ref="D15:E15"/>
    <mergeCell ref="D16:F16"/>
    <mergeCell ref="D17:F17"/>
    <mergeCell ref="F15:G15"/>
    <mergeCell ref="D18:F18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2025-02-03T06:29:43Z</cp:lastPrinted>
  <dcterms:created xsi:type="dcterms:W3CDTF">2022-10-19T19:05:00Z</dcterms:created>
  <dcterms:modified xsi:type="dcterms:W3CDTF">2025-02-06T03:58:59Z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