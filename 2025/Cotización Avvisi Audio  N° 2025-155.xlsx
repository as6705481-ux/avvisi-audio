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checkCompatibility="1"/>
  <mc:AlternateContent xmlns:mc="http://schemas.openxmlformats.org/markup-compatibility/2006">
    <mc:Choice Requires="x15">
      <x15ac:absPath xmlns:x15ac="http://schemas.microsoft.com/office/spreadsheetml/2010/11/ac" url="C:\Users\HUAWEI\Desktop\"/>
    </mc:Choice>
  </mc:AlternateContent>
  <xr:revisionPtr revIDLastSave="0" documentId="8_{2114D1A6-02FF-41A2-9993-08AAF01ECBA5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1" l="1"/>
  <c r="H18" i="1" l="1"/>
  <c r="H19" i="1"/>
  <c r="H20" i="1"/>
  <c r="H21" i="1"/>
  <c r="H22" i="1"/>
  <c r="H23" i="1" l="1"/>
  <c r="H24" i="1" l="1"/>
  <c r="H25" i="1" s="1"/>
</calcChain>
</file>

<file path=xl/sharedStrings.xml><?xml version="1.0" encoding="utf-8"?>
<sst xmlns="http://schemas.openxmlformats.org/spreadsheetml/2006/main" count="25" uniqueCount="24">
  <si>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</si>
  <si>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</si>
  <si>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</si>
  <si>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</si>
  <si>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</si>
  <si>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</si>
  <si>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</si>
  <si>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</si>
  <si>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</si>
  <si>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</si>
  <si>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</si>
  <si>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</si>
  <si>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</si>
  <si>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</si>
  <si>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</si>
  <si>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>ISV 15 %</t>
  </si>
  <si>
    <t>RTN</t>
  </si>
  <si>
    <t>No determinado</t>
  </si>
  <si>
    <t xml:space="preserve">Tegucigalpa </t>
  </si>
  <si>
    <t>Eufemio Martinez</t>
  </si>
  <si>
    <t xml:space="preserve">Grupo Q  </t>
  </si>
  <si>
    <t xml:space="preserve">4 Dias </t>
  </si>
  <si>
    <t xml:space="preserve">Edecan </t>
  </si>
  <si>
    <t>2025-155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</si>
</sst>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7" fillId="4" borderId="0" applyNumberFormat="0" applyBorder="0" applyAlignment="0" applyProtection="0"/>
    <xf numFmtId="0" fontId="8" fillId="3" borderId="0" applyNumberFormat="0" applyBorder="0" applyAlignment="0" applyProtection="0"/>
  </cellStyleXfs>
  <cellXfs count="3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8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5" borderId="7" xfId="0" applyFont="1" applyFill="1" applyBorder="1" applyAlignment="1">
      <alignment horizontal="center"/>
    </xf>
    <xf numFmtId="164" fontId="8" fillId="3" borderId="3" xfId="2" applyNumberFormat="1" applyBorder="1" applyAlignment="1"/>
    <xf numFmtId="0" fontId="10" fillId="2" borderId="3" xfId="2" applyFont="1" applyFill="1" applyBorder="1" applyAlignment="1">
      <alignment horizontal="center"/>
    </xf>
    <xf numFmtId="164" fontId="10" fillId="2" borderId="3" xfId="2" applyNumberFormat="1" applyFont="1" applyFill="1" applyBorder="1"/>
    <xf numFmtId="164" fontId="11" fillId="2" borderId="3" xfId="0" applyNumberFormat="1" applyFont="1" applyFill="1" applyBorder="1"/>
    <xf numFmtId="164" fontId="8" fillId="3" borderId="5" xfId="2" applyNumberFormat="1" applyBorder="1" applyAlignment="1"/>
    <xf numFmtId="0" fontId="6" fillId="2" borderId="8" xfId="1" applyFont="1" applyFill="1" applyBorder="1" applyAlignment="1">
      <alignment horizontal="center"/>
    </xf>
    <xf numFmtId="164" fontId="8" fillId="3" borderId="9" xfId="2" applyNumberFormat="1" applyBorder="1" applyAlignment="1">
      <alignment horizontal="center"/>
    </xf>
    <xf numFmtId="164" fontId="0" fillId="3" borderId="5" xfId="2" applyNumberFormat="1" applyFont="1" applyBorder="1" applyAlignment="1">
      <alignment horizontal="center"/>
    </xf>
    <xf numFmtId="14" fontId="3" fillId="0" borderId="2" xfId="0" applyNumberFormat="1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0" fillId="3" borderId="3" xfId="2" applyFont="1" applyBorder="1" applyAlignment="1">
      <alignment horizontal="left"/>
    </xf>
    <xf numFmtId="0" fontId="8" fillId="3" borderId="3" xfId="2" applyBorder="1" applyAlignment="1">
      <alignment horizontal="left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left"/>
    </xf>
    <xf numFmtId="1" fontId="0" fillId="0" borderId="6" xfId="0" applyNumberFormat="1" applyBorder="1" applyAlignment="1">
      <alignment horizontal="center"/>
    </xf>
    <xf numFmtId="0" fontId="2" fillId="0" borderId="6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2" xfId="0" applyBorder="1"/>
    <xf numFmtId="0" fontId="1" fillId="0" borderId="1" xfId="0" applyFont="1" applyBorder="1" applyAlignment="1">
      <alignment horizontal="left"/>
    </xf>
    <xf numFmtId="0" fontId="1" fillId="0" borderId="7" xfId="0" applyFont="1" applyBorder="1" applyAlignment="1">
      <alignment horizontal="center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28</xdr:row>
      <xdr:rowOff>83925</xdr:rowOff>
    </xdr:from>
    <xdr:to>
      <xdr:col>1</xdr:col>
      <xdr:colOff>113617</xdr:colOff>
      <xdr:row>30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08374" y="5126980"/>
          <a:ext cx="50716" cy="326097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4483"/>
          <a:ext cx="6488190" cy="1299535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940037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79923" y="1535186"/>
          <a:ext cx="6478675" cy="487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7399</xdr:colOff>
      <xdr:row>22</xdr:row>
      <xdr:rowOff>35608</xdr:rowOff>
    </xdr:from>
    <xdr:to>
      <xdr:col>7</xdr:col>
      <xdr:colOff>1050524</xdr:colOff>
      <xdr:row>32</xdr:row>
      <xdr:rowOff>147962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7399" y="5390972"/>
          <a:ext cx="6761686" cy="25692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31</xdr:row>
      <xdr:rowOff>601411</xdr:rowOff>
    </xdr:from>
    <xdr:to>
      <xdr:col>4</xdr:col>
      <xdr:colOff>168596</xdr:colOff>
      <xdr:row>33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31</xdr:row>
      <xdr:rowOff>612567</xdr:rowOff>
    </xdr:from>
    <xdr:to>
      <xdr:col>7</xdr:col>
      <xdr:colOff>991200</xdr:colOff>
      <xdr:row>35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28</xdr:row>
      <xdr:rowOff>149553</xdr:rowOff>
    </xdr:from>
    <xdr:to>
      <xdr:col>4</xdr:col>
      <xdr:colOff>1032164</xdr:colOff>
      <xdr:row>35</xdr:row>
      <xdr:rowOff>56973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53371"/>
          <a:ext cx="3449782" cy="1840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1"/>
  <sheetViews>
    <sheetView tabSelected="1" zoomScale="110" zoomScaleNormal="110" zoomScaleSheetLayoutView="112" zoomScalePageLayoutView="107" workbookViewId="0">
      <selection activeCell="H8" sqref="H8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24"/>
      <c r="C1" s="24"/>
      <c r="D1" s="24"/>
      <c r="E1" s="24"/>
      <c r="F1" s="24"/>
      <c r="G1" s="24"/>
      <c r="H1" s="24"/>
    </row>
    <row r="6" spans="2:9">
      <c r="H6" s="8" t="s">
        <v>12</v>
      </c>
      <c r="I6" s="1"/>
    </row>
    <row r="7" spans="2:9">
      <c r="H7" s="36" t="s">
        <v>23</v>
      </c>
    </row>
    <row r="12" spans="2:9" ht="12.6" customHeight="1">
      <c r="B12" s="25" t="s">
        <v>14</v>
      </c>
      <c r="C12" s="25"/>
      <c r="D12" s="35" t="s">
        <v>20</v>
      </c>
      <c r="E12" s="27"/>
      <c r="F12" t="s">
        <v>11</v>
      </c>
      <c r="G12" s="23" t="s">
        <v>19</v>
      </c>
      <c r="H12" s="23"/>
    </row>
    <row r="13" spans="2:9" ht="14.4" customHeight="1">
      <c r="B13" s="25" t="s">
        <v>0</v>
      </c>
      <c r="C13" s="25"/>
      <c r="D13" s="29" t="s">
        <v>18</v>
      </c>
      <c r="E13" s="30"/>
      <c r="F13" s="1" t="s">
        <v>16</v>
      </c>
      <c r="G13" s="28"/>
      <c r="H13" s="28"/>
    </row>
    <row r="14" spans="2:9">
      <c r="B14" s="1" t="s">
        <v>1</v>
      </c>
      <c r="C14" s="1" t="s">
        <v>2</v>
      </c>
      <c r="D14" s="26" t="s">
        <v>3</v>
      </c>
      <c r="E14" s="26"/>
      <c r="F14" s="24" t="s">
        <v>10</v>
      </c>
      <c r="G14" s="24"/>
      <c r="H14" s="1" t="s">
        <v>13</v>
      </c>
    </row>
    <row r="15" spans="2:9">
      <c r="B15" s="2">
        <v>45777</v>
      </c>
      <c r="C15" s="1" t="s">
        <v>21</v>
      </c>
      <c r="D15" s="17"/>
      <c r="E15" s="18"/>
      <c r="F15" s="22"/>
      <c r="G15" s="23"/>
      <c r="H15" s="7" t="s">
        <v>17</v>
      </c>
    </row>
    <row r="16" spans="2:9" ht="15.6">
      <c r="B16" s="3" t="s">
        <v>4</v>
      </c>
      <c r="C16" s="3" t="s">
        <v>8</v>
      </c>
      <c r="D16" s="19" t="s">
        <v>5</v>
      </c>
      <c r="E16" s="19"/>
      <c r="F16" s="19"/>
      <c r="G16" s="3" t="s">
        <v>6</v>
      </c>
      <c r="H16" s="14" t="s">
        <v>7</v>
      </c>
    </row>
    <row r="17" spans="2:8">
      <c r="B17" s="4">
        <v>1</v>
      </c>
      <c r="C17" s="4">
        <v>4</v>
      </c>
      <c r="D17" s="20" t="s">
        <v>22</v>
      </c>
      <c r="E17" s="21"/>
      <c r="F17" s="21"/>
      <c r="G17" s="16">
        <v>2500</v>
      </c>
      <c r="H17" s="15">
        <f>B17*G17*C17</f>
        <v>10000</v>
      </c>
    </row>
    <row r="18" spans="2:8">
      <c r="B18" s="4"/>
      <c r="C18" s="6"/>
      <c r="D18" s="31"/>
      <c r="E18" s="32"/>
      <c r="F18" s="33"/>
      <c r="G18" s="13"/>
      <c r="H18" s="15">
        <f t="shared" ref="H17:H22" si="0">B18*G18*C18</f>
        <v>0</v>
      </c>
    </row>
    <row r="19" spans="2:8">
      <c r="B19" s="4"/>
      <c r="C19" s="6"/>
      <c r="D19" s="31"/>
      <c r="E19" s="32"/>
      <c r="F19" s="33"/>
      <c r="G19" s="9"/>
      <c r="H19" s="15">
        <f t="shared" si="0"/>
        <v>0</v>
      </c>
    </row>
    <row r="20" spans="2:8">
      <c r="B20" s="4"/>
      <c r="C20" s="6"/>
      <c r="D20" s="31"/>
      <c r="E20" s="32"/>
      <c r="F20" s="33"/>
      <c r="G20" s="9"/>
      <c r="H20" s="15">
        <f t="shared" si="0"/>
        <v>0</v>
      </c>
    </row>
    <row r="21" spans="2:8">
      <c r="B21" s="4"/>
      <c r="C21" s="6"/>
      <c r="D21" s="31"/>
      <c r="E21" s="32"/>
      <c r="F21" s="33"/>
      <c r="G21" s="9"/>
      <c r="H21" s="15">
        <f t="shared" si="0"/>
        <v>0</v>
      </c>
    </row>
    <row r="22" spans="2:8">
      <c r="B22" s="4"/>
      <c r="C22" s="6"/>
      <c r="D22" s="31"/>
      <c r="E22" s="32"/>
      <c r="F22" s="33"/>
      <c r="G22" s="9"/>
      <c r="H22" s="15">
        <f t="shared" si="0"/>
        <v>0</v>
      </c>
    </row>
    <row r="23" spans="2:8">
      <c r="D23" s="34"/>
      <c r="E23" s="34"/>
      <c r="F23" s="34"/>
      <c r="G23" s="10" t="s">
        <v>9</v>
      </c>
      <c r="H23" s="11">
        <f>SUM(H17:H22)</f>
        <v>10000</v>
      </c>
    </row>
    <row r="24" spans="2:8">
      <c r="G24" s="10" t="s">
        <v>15</v>
      </c>
      <c r="H24" s="12">
        <f>H23*0.15</f>
        <v>1500</v>
      </c>
    </row>
    <row r="25" spans="2:8">
      <c r="G25" s="10" t="s">
        <v>9</v>
      </c>
      <c r="H25" s="12">
        <f>H24+H23</f>
        <v>11500</v>
      </c>
    </row>
    <row r="32" spans="2:8" ht="62.4" customHeight="1"/>
    <row r="34" spans="2:8" ht="27.6" customHeight="1"/>
    <row r="35" spans="2:8" ht="5.4" customHeight="1">
      <c r="B35" s="5"/>
      <c r="C35" s="5"/>
      <c r="D35" s="5"/>
      <c r="E35" s="5"/>
      <c r="F35" s="5"/>
      <c r="G35" s="5"/>
      <c r="H35" s="5"/>
    </row>
    <row r="37" spans="2:8" ht="25.2" customHeight="1"/>
    <row r="44" spans="2:8" ht="21" customHeight="1"/>
    <row r="46" spans="2:8" ht="1.95" customHeight="1"/>
    <row r="47" spans="2:8" ht="7.95" customHeight="1"/>
    <row r="48" spans="2:8" ht="16.05" customHeight="1"/>
    <row r="50" ht="6" customHeight="1"/>
    <row r="51" ht="9.75" customHeight="1"/>
  </sheetData>
  <mergeCells count="19">
    <mergeCell ref="D22:F22"/>
    <mergeCell ref="D23:F23"/>
    <mergeCell ref="D21:F21"/>
    <mergeCell ref="D18:F18"/>
    <mergeCell ref="D20:F20"/>
    <mergeCell ref="D19:F19"/>
    <mergeCell ref="B1:H1"/>
    <mergeCell ref="B12:C12"/>
    <mergeCell ref="B13:C13"/>
    <mergeCell ref="D14:E14"/>
    <mergeCell ref="D12:E12"/>
    <mergeCell ref="G12:H12"/>
    <mergeCell ref="F14:G14"/>
    <mergeCell ref="G13:H13"/>
    <mergeCell ref="D13:E13"/>
    <mergeCell ref="D15:E15"/>
    <mergeCell ref="D16:F16"/>
    <mergeCell ref="D17:F17"/>
    <mergeCell ref="F15:G15"/>
  </mergeCells>
  <phoneticPr fontId="9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2025-04-30T06:32:30Z</cp:lastPrinted>
  <dcterms:created xsi:type="dcterms:W3CDTF">2022-10-19T19:05:00Z</dcterms:created>
  <dcterms:modified xsi:type="dcterms:W3CDTF">2025-04-30T16:55:31Z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