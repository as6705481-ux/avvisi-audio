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A097CA6-B23D-47A1-9743-17AE81396BD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<sst xmlns="http://schemas.openxmlformats.org/spreadsheetml/2006/main" count="34" uniqueCount="33">
  <si>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</si>
  <si>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</si>
  <si>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</si>
  <si>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</si>
  <si>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</si>
  <si>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</si>
  <si>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</si>
  <si>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</si>
  <si>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</si>
  <si>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</si>
  <si>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</si>
  <si>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</si>
  <si>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</si>
  <si>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</si>
  <si>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</si>
  <si>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</si>
  <si>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</si>
  <si>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</si>
  <si>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</si>
  <si>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Tegucigalpa </t>
  </si>
  <si>
    <t xml:space="preserve">1 dia </t>
  </si>
  <si>
    <t xml:space="preserve">29 de Agosto </t>
  </si>
  <si>
    <t xml:space="preserve">Evento de Marca </t>
  </si>
  <si>
    <t xml:space="preserve">Pantalla de 8 x 4 metros </t>
  </si>
  <si>
    <t xml:space="preserve">Laterales 1 x 4 metros </t>
  </si>
  <si>
    <t>Podio de acrilico con logo</t>
  </si>
  <si>
    <t>Microfono de mano shure SM58</t>
  </si>
  <si>
    <t xml:space="preserve">Tarima de 8 x 4 metros x 40 en negro 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</si>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</sst>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7" t="s">
        <v>32</v>
      </c>
    </row>
    <row r="12" spans="2:9" ht="12.6" customHeight="1">
      <c r="B12" s="25" t="s">
        <v>14</v>
      </c>
      <c r="C12" s="25"/>
      <c r="D12" s="33" t="s">
        <v>18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4" t="s">
        <v>19</v>
      </c>
      <c r="E13" s="30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45460</v>
      </c>
      <c r="C15" s="1" t="s">
        <v>20</v>
      </c>
      <c r="D15" s="35" t="s">
        <v>21</v>
      </c>
      <c r="E15" s="31"/>
      <c r="F15" s="36" t="s">
        <v>22</v>
      </c>
      <c r="G15" s="28"/>
      <c r="H15" s="7">
        <v>300</v>
      </c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23</v>
      </c>
      <c r="E17" s="19"/>
      <c r="F17" s="19"/>
      <c r="G17" s="13">
        <v>48500</v>
      </c>
      <c r="H17" s="17">
        <f>B17*G17*C17</f>
        <v>48500</v>
      </c>
    </row>
    <row r="18" spans="2:8">
      <c r="B18" s="4">
        <v>1</v>
      </c>
      <c r="C18" s="6">
        <v>2</v>
      </c>
      <c r="D18" s="18" t="s">
        <v>24</v>
      </c>
      <c r="E18" s="19"/>
      <c r="F18" s="19"/>
      <c r="G18" s="14">
        <v>6400</v>
      </c>
      <c r="H18" s="17">
        <f t="shared" ref="H18:H29" si="0">B18*G18*C18</f>
        <v>12800</v>
      </c>
    </row>
    <row r="19" spans="2:8">
      <c r="B19" s="4">
        <v>1</v>
      </c>
      <c r="C19" s="6">
        <v>1</v>
      </c>
      <c r="D19" s="18" t="s">
        <v>25</v>
      </c>
      <c r="E19" s="19"/>
      <c r="F19" s="19"/>
      <c r="G19" s="15">
        <v>2500</v>
      </c>
      <c r="H19" s="17">
        <f t="shared" si="0"/>
        <v>2500</v>
      </c>
    </row>
    <row r="20" spans="2:8">
      <c r="B20" s="4">
        <v>1</v>
      </c>
      <c r="C20" s="6">
        <v>1</v>
      </c>
      <c r="D20" s="18" t="s">
        <v>31</v>
      </c>
      <c r="E20" s="19"/>
      <c r="F20" s="19"/>
      <c r="G20" s="14">
        <v>500</v>
      </c>
      <c r="H20" s="17">
        <f t="shared" si="0"/>
        <v>500</v>
      </c>
    </row>
    <row r="21" spans="2:8">
      <c r="B21" s="4">
        <v>2</v>
      </c>
      <c r="C21" s="6">
        <v>1</v>
      </c>
      <c r="D21" s="18" t="s">
        <v>26</v>
      </c>
      <c r="E21" s="19"/>
      <c r="F21" s="19"/>
      <c r="G21" s="14">
        <v>500</v>
      </c>
      <c r="H21" s="17">
        <f t="shared" si="0"/>
        <v>1000</v>
      </c>
    </row>
    <row r="22" spans="2:8">
      <c r="B22" s="6">
        <v>1</v>
      </c>
      <c r="C22" s="6">
        <v>1</v>
      </c>
      <c r="D22" s="18" t="s">
        <v>27</v>
      </c>
      <c r="E22" s="19"/>
      <c r="F22" s="19"/>
      <c r="G22" s="14">
        <v>6000</v>
      </c>
      <c r="H22" s="17">
        <f t="shared" si="0"/>
        <v>6000</v>
      </c>
    </row>
    <row r="23" spans="2:8">
      <c r="B23" s="4">
        <v>8</v>
      </c>
      <c r="C23" s="6">
        <v>1</v>
      </c>
      <c r="D23" s="20" t="s">
        <v>28</v>
      </c>
      <c r="E23" s="21"/>
      <c r="F23" s="22"/>
      <c r="G23" s="14">
        <v>350</v>
      </c>
      <c r="H23" s="17">
        <f t="shared" si="0"/>
        <v>2800</v>
      </c>
    </row>
    <row r="24" spans="2:8">
      <c r="B24" s="4">
        <v>1</v>
      </c>
      <c r="C24" s="6">
        <v>1</v>
      </c>
      <c r="D24" s="20" t="s">
        <v>29</v>
      </c>
      <c r="E24" s="21"/>
      <c r="F24" s="22"/>
      <c r="G24" s="14">
        <v>10300</v>
      </c>
      <c r="H24" s="17">
        <f t="shared" si="0"/>
        <v>10300</v>
      </c>
    </row>
    <row r="25" spans="2:8">
      <c r="B25" s="4">
        <v>1</v>
      </c>
      <c r="C25" s="6">
        <v>1</v>
      </c>
      <c r="D25" s="20" t="s">
        <v>30</v>
      </c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84400</v>
      </c>
    </row>
    <row r="31" spans="2:8">
      <c r="G31" s="10" t="s">
        <v>16</v>
      </c>
      <c r="H31" s="12">
        <f>H30*0.15</f>
        <v>12660</v>
      </c>
    </row>
    <row r="32" spans="2:8">
      <c r="G32" s="10" t="s">
        <v>9</v>
      </c>
      <c r="H32" s="12">
        <f>H31+H30</f>
        <v>97060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2025-05-26T23:18:33Z</cp:lastPrinted>
  <dcterms:created xsi:type="dcterms:W3CDTF">2022-10-19T19:05:00Z</dcterms:created>
  <dcterms:modified xsi:type="dcterms:W3CDTF">2025-06-17T16:09:18Z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