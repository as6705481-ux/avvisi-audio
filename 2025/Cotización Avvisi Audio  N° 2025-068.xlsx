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5837D63-8BEA-4DBA-9096-AFC7736C63C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17" i="1" l="1"/>
  <c r="H18" i="1"/>
  <c r="H19" i="1"/>
  <c r="H20" i="1"/>
  <c r="H21" i="1"/>
  <c r="H22" i="1"/>
  <c r="H23" i="1"/>
  <c r="H24" i="1"/>
  <c r="H25" i="1"/>
  <c r="H26" i="1"/>
  <c r="H29" i="1" l="1"/>
  <c r="H30" i="1" s="1"/>
  <c r="H31" i="1" s="1"/>
</calcChain>
</file>

<file path=xl/sharedStrings.xml><?xml version="1.0" encoding="utf-8"?>
<sst xmlns="http://schemas.openxmlformats.org/spreadsheetml/2006/main" count="36" uniqueCount="36">
  <si>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</si>
  <si>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</si>
  <si>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</si>
  <si>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</si>
  <si>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</si>
  <si>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</si>
  <si>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</si>
  <si>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</si>
  <si>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</si>
  <si>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</si>
  <si>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</si>
  <si>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</si>
  <si>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</si>
  <si>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</si>
  <si>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</si>
  <si>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</si>
  <si>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</si>
  <si>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</si>
  <si>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Tegucigalpa </t>
  </si>
  <si>
    <t xml:space="preserve">Lanzamiento </t>
  </si>
  <si>
    <t xml:space="preserve">Podio de acrilico </t>
  </si>
  <si>
    <t xml:space="preserve">Microfono cuello de ganzo </t>
  </si>
  <si>
    <t>Microfonos Shure sm58</t>
  </si>
  <si>
    <t>Iluminacion par led 54</t>
  </si>
  <si>
    <t>Tecnicos y personal de staff</t>
  </si>
  <si>
    <t>Logistica , transporte punto A - B</t>
  </si>
  <si>
    <t xml:space="preserve">Registro Nacional de las Personas  </t>
  </si>
  <si>
    <t xml:space="preserve">60 Personas </t>
  </si>
  <si>
    <t>/3/2025</t>
  </si>
  <si>
    <t xml:space="preserve">Consola digital de audio </t>
  </si>
  <si>
    <t>Pantallas de 55 pulgadas para codigas QR</t>
  </si>
  <si>
    <t xml:space="preserve">Luces roboticas </t>
  </si>
  <si>
    <t>2025-068</t>
  </si>
  <si>
    <t xml:space="preserve">Pantallla led 6 x 2 </t>
  </si>
  <si>
    <t>Tarima 6 x 2.50</t>
  </si>
  <si>
    <t xml:space="preserve">Sistema de audio de barra tipo corporativo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</si>
</sst>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165" fontId="0" fillId="0" borderId="2" xfId="0" applyNumberFormat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2" fillId="3" borderId="6" xfId="3" applyFont="1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803" y="6604646"/>
          <a:ext cx="50716" cy="32814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505"/>
          <a:ext cx="6688400" cy="1306689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28</xdr:row>
      <xdr:rowOff>56444</xdr:rowOff>
    </xdr:from>
    <xdr:to>
      <xdr:col>7</xdr:col>
      <xdr:colOff>1127760</xdr:colOff>
      <xdr:row>39</xdr:row>
      <xdr:rowOff>2483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776148"/>
          <a:ext cx="6847464" cy="1912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39</xdr:row>
      <xdr:rowOff>38100</xdr:rowOff>
    </xdr:from>
    <xdr:to>
      <xdr:col>4</xdr:col>
      <xdr:colOff>131445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39</xdr:row>
      <xdr:rowOff>76200</xdr:rowOff>
    </xdr:from>
    <xdr:to>
      <xdr:col>7</xdr:col>
      <xdr:colOff>852805</xdr:colOff>
      <xdr:row>45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topLeftCell="A3" zoomScale="122" zoomScaleNormal="100" zoomScaleSheetLayoutView="112" zoomScalePageLayoutView="122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14" t="s">
        <v>13</v>
      </c>
      <c r="I6" s="1"/>
    </row>
    <row r="7" spans="2:9">
      <c r="H7" s="15" t="s">
        <v>32</v>
      </c>
    </row>
    <row r="12" spans="2:9" ht="12.6" customHeight="1">
      <c r="B12" s="26" t="s">
        <v>0</v>
      </c>
      <c r="C12" s="26"/>
      <c r="D12" s="27" t="s">
        <v>26</v>
      </c>
      <c r="E12" s="28"/>
      <c r="F12" t="s">
        <v>12</v>
      </c>
      <c r="G12" s="24" t="s">
        <v>14</v>
      </c>
      <c r="H12" s="24"/>
    </row>
    <row r="13" spans="2:9" ht="14.4" customHeight="1">
      <c r="B13" s="26" t="s">
        <v>1</v>
      </c>
      <c r="C13" s="26"/>
      <c r="D13" s="27" t="s">
        <v>18</v>
      </c>
      <c r="E13" s="28"/>
      <c r="F13" s="28"/>
      <c r="G13" s="28"/>
    </row>
    <row r="14" spans="2:9">
      <c r="B14" s="1" t="s">
        <v>2</v>
      </c>
      <c r="C14" s="1" t="s">
        <v>3</v>
      </c>
      <c r="D14" s="29" t="s">
        <v>4</v>
      </c>
      <c r="E14" s="29"/>
      <c r="F14" s="29" t="s">
        <v>11</v>
      </c>
      <c r="G14" s="29"/>
      <c r="H14" s="1" t="s">
        <v>17</v>
      </c>
    </row>
    <row r="15" spans="2:9">
      <c r="B15" s="2">
        <v>45707</v>
      </c>
      <c r="C15" s="1"/>
      <c r="D15" s="20" t="s">
        <v>28</v>
      </c>
      <c r="E15" s="20"/>
      <c r="F15" s="24" t="s">
        <v>19</v>
      </c>
      <c r="G15" s="24"/>
      <c r="H15" s="13" t="s">
        <v>27</v>
      </c>
    </row>
    <row r="16" spans="2:9" ht="15.6">
      <c r="B16" s="3" t="s">
        <v>5</v>
      </c>
      <c r="C16" s="3" t="s">
        <v>9</v>
      </c>
      <c r="D16" s="21" t="s">
        <v>6</v>
      </c>
      <c r="E16" s="21"/>
      <c r="F16" s="21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2" t="s">
        <v>33</v>
      </c>
      <c r="E17" s="17"/>
      <c r="F17" s="17"/>
      <c r="G17" s="5">
        <v>27000</v>
      </c>
      <c r="H17" s="8">
        <f>G17*B17*C17</f>
        <v>27000</v>
      </c>
    </row>
    <row r="18" spans="2:8">
      <c r="B18" s="4">
        <v>1</v>
      </c>
      <c r="C18" s="9">
        <v>1</v>
      </c>
      <c r="D18" s="16" t="s">
        <v>20</v>
      </c>
      <c r="E18" s="17"/>
      <c r="F18" s="17"/>
      <c r="G18" s="5">
        <v>2000</v>
      </c>
      <c r="H18" s="8">
        <f t="shared" ref="H18:H28" si="0">G18*B18*C18</f>
        <v>2000</v>
      </c>
    </row>
    <row r="19" spans="2:8">
      <c r="B19" s="4">
        <v>1</v>
      </c>
      <c r="C19" s="9">
        <v>1</v>
      </c>
      <c r="D19" s="16" t="s">
        <v>21</v>
      </c>
      <c r="E19" s="17"/>
      <c r="F19" s="17"/>
      <c r="G19" s="5">
        <v>500</v>
      </c>
      <c r="H19" s="8">
        <f t="shared" si="0"/>
        <v>500</v>
      </c>
    </row>
    <row r="20" spans="2:8">
      <c r="B20" s="4">
        <v>4</v>
      </c>
      <c r="C20" s="9">
        <v>1</v>
      </c>
      <c r="D20" s="18" t="s">
        <v>22</v>
      </c>
      <c r="E20" s="19"/>
      <c r="F20" s="19"/>
      <c r="G20" s="5">
        <v>700</v>
      </c>
      <c r="H20" s="8">
        <f t="shared" si="0"/>
        <v>2800</v>
      </c>
    </row>
    <row r="21" spans="2:8">
      <c r="B21" s="4">
        <v>1</v>
      </c>
      <c r="C21" s="9">
        <v>1</v>
      </c>
      <c r="D21" s="38" t="s">
        <v>34</v>
      </c>
      <c r="E21" s="19"/>
      <c r="F21" s="19"/>
      <c r="G21" s="5">
        <v>6000</v>
      </c>
      <c r="H21" s="8">
        <f t="shared" si="0"/>
        <v>6000</v>
      </c>
    </row>
    <row r="22" spans="2:8">
      <c r="B22" s="4">
        <v>10</v>
      </c>
      <c r="C22" s="9">
        <v>1</v>
      </c>
      <c r="D22" s="18" t="s">
        <v>23</v>
      </c>
      <c r="E22" s="19"/>
      <c r="F22" s="19"/>
      <c r="G22" s="5">
        <v>350</v>
      </c>
      <c r="H22" s="8">
        <f t="shared" si="0"/>
        <v>3500</v>
      </c>
    </row>
    <row r="23" spans="2:8">
      <c r="B23" s="4">
        <v>2</v>
      </c>
      <c r="C23" s="9">
        <v>1</v>
      </c>
      <c r="D23" s="38" t="s">
        <v>35</v>
      </c>
      <c r="E23" s="19"/>
      <c r="F23" s="19"/>
      <c r="G23" s="5">
        <v>1500</v>
      </c>
      <c r="H23" s="8">
        <f t="shared" si="0"/>
        <v>3000</v>
      </c>
    </row>
    <row r="24" spans="2:8">
      <c r="B24" s="4">
        <v>1</v>
      </c>
      <c r="C24" s="9">
        <v>1</v>
      </c>
      <c r="D24" s="23" t="s">
        <v>29</v>
      </c>
      <c r="E24" s="17"/>
      <c r="F24" s="17"/>
      <c r="G24" s="5">
        <v>500</v>
      </c>
      <c r="H24" s="8">
        <f t="shared" si="0"/>
        <v>500</v>
      </c>
    </row>
    <row r="25" spans="2:8">
      <c r="B25" s="4">
        <v>3</v>
      </c>
      <c r="C25" s="9">
        <v>1</v>
      </c>
      <c r="D25" s="32" t="s">
        <v>24</v>
      </c>
      <c r="E25" s="33"/>
      <c r="F25" s="34"/>
      <c r="G25" s="5">
        <v>1000</v>
      </c>
      <c r="H25" s="8">
        <f t="shared" si="0"/>
        <v>3000</v>
      </c>
    </row>
    <row r="26" spans="2:8">
      <c r="B26" s="4">
        <v>1</v>
      </c>
      <c r="C26" s="9">
        <v>1</v>
      </c>
      <c r="D26" s="18" t="s">
        <v>25</v>
      </c>
      <c r="E26" s="19"/>
      <c r="F26" s="19"/>
      <c r="G26" s="5">
        <v>2500</v>
      </c>
      <c r="H26" s="8">
        <f t="shared" si="0"/>
        <v>2500</v>
      </c>
    </row>
    <row r="27" spans="2:8">
      <c r="B27" s="4">
        <v>4</v>
      </c>
      <c r="C27" s="9">
        <v>1</v>
      </c>
      <c r="D27" s="35" t="s">
        <v>30</v>
      </c>
      <c r="E27" s="36"/>
      <c r="F27" s="37"/>
      <c r="G27" s="5">
        <v>1350</v>
      </c>
      <c r="H27" s="8">
        <f t="shared" si="0"/>
        <v>5400</v>
      </c>
    </row>
    <row r="28" spans="2:8">
      <c r="B28" s="4">
        <v>4</v>
      </c>
      <c r="C28" s="9">
        <v>1</v>
      </c>
      <c r="D28" s="35" t="s">
        <v>31</v>
      </c>
      <c r="E28" s="36"/>
      <c r="F28" s="37"/>
      <c r="G28" s="5">
        <v>1000</v>
      </c>
      <c r="H28" s="8">
        <f t="shared" si="0"/>
        <v>4000</v>
      </c>
    </row>
    <row r="29" spans="2:8">
      <c r="D29" s="30"/>
      <c r="E29" s="30"/>
      <c r="F29" s="30"/>
      <c r="G29" s="10" t="s">
        <v>10</v>
      </c>
      <c r="H29" s="6">
        <f>SUM(H17:H28)</f>
        <v>60200</v>
      </c>
    </row>
    <row r="30" spans="2:8">
      <c r="D30" s="31"/>
      <c r="E30" s="31"/>
      <c r="F30" s="31"/>
      <c r="G30" s="10" t="s">
        <v>15</v>
      </c>
      <c r="H30" s="11">
        <f>H29*0.15</f>
        <v>9030</v>
      </c>
    </row>
    <row r="31" spans="2:8">
      <c r="D31" s="31"/>
      <c r="E31" s="31"/>
      <c r="F31" s="31"/>
      <c r="G31" s="10" t="s">
        <v>16</v>
      </c>
      <c r="H31" s="12">
        <f>H29+H30</f>
        <v>69230</v>
      </c>
    </row>
    <row r="42" spans="2:8" ht="26.4" customHeight="1"/>
    <row r="43" spans="2:8">
      <c r="B43" s="7"/>
      <c r="C43" s="7"/>
      <c r="D43" s="7"/>
      <c r="E43" s="7"/>
      <c r="F43" s="7"/>
      <c r="G43" s="7"/>
      <c r="H43" s="7"/>
    </row>
    <row r="44" spans="2:8" ht="27.6" customHeight="1"/>
    <row r="45" spans="2:8" ht="5.4" customHeight="1"/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6">
    <mergeCell ref="D29:F29"/>
    <mergeCell ref="D30:F30"/>
    <mergeCell ref="D25:F25"/>
    <mergeCell ref="D31:F31"/>
    <mergeCell ref="D24:F24"/>
    <mergeCell ref="D26:F26"/>
    <mergeCell ref="D27:F27"/>
    <mergeCell ref="D28:F28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2024-08-16T01:50:58Z</cp:lastPrinted>
  <dcterms:created xsi:type="dcterms:W3CDTF">2022-10-19T19:05:00Z</dcterms:created>
  <dcterms:modified xsi:type="dcterms:W3CDTF">2025-02-19T19:12:53Z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