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F03C256A-A71D-4B56-B05B-9B6E6FA15D92}" xr6:coauthVersionLast="47" xr6:coauthVersionMax="47" xr10:uidLastSave="{00000000-0000-0000-0000-000000000000}"/>
  <bookViews>
    <workbookView xWindow="1332" yWindow="1572" windowWidth="11064" windowHeight="8880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0" i="1" l="1"/>
  <c r="H18" i="1"/>
  <c r="H19" i="1"/>
  <c r="H21" i="1"/>
  <c r="H22" i="1"/>
  <c r="H23" i="1"/>
  <c r="H24" i="1"/>
  <c r="H25" i="1"/>
  <c r="H28" i="1"/>
  <c r="H29" i="1"/>
  <c r="H30" i="1"/>
  <c r="H17" i="1"/>
  <c r="H31" i="1" l="1"/>
  <c r="H32" i="1" l="1"/>
  <c r="H33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<sst xmlns="http://schemas.openxmlformats.org/spreadsheetml/2006/main" count="35" uniqueCount="34">
  <si>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</si>
  <si>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</si>
  <si>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</si>
  <si>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</si>
  <si>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</si>
  <si>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</si>
  <si>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</si>
  <si>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</si>
  <si>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</si>
  <si>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</si>
  <si>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</si>
  <si>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</si>
  <si>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</si>
  <si>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</si>
  <si>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</si>
  <si>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</si>
  <si>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</si>
  <si>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</si>
  <si>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 xml:space="preserve">Tegucigalpa </t>
  </si>
  <si>
    <t xml:space="preserve">Grupo Q  </t>
  </si>
  <si>
    <t xml:space="preserve">Tarima de 3.75 x 6 m en blanco </t>
  </si>
  <si>
    <t xml:space="preserve">Carpa de 7 m x 4 metros blanca con logo </t>
  </si>
  <si>
    <t xml:space="preserve">3 Dias </t>
  </si>
  <si>
    <t xml:space="preserve">personal de staff y montaje </t>
  </si>
  <si>
    <t xml:space="preserve">luces Roboticas 230w 7R con controlador </t>
  </si>
  <si>
    <t xml:space="preserve">Hielera con hidratacion 3 dias ( cortesia ) </t>
  </si>
  <si>
    <t>Tania Ulloa Galeano</t>
  </si>
  <si>
    <t>Cuadrante de truss 37 x 4 a 3 m (Tegucigalpa)</t>
  </si>
  <si>
    <t>Diseño y render  (cortesia )</t>
  </si>
  <si>
    <t>Arco led de 3 x 42 m (Tegucigalpa)</t>
  </si>
  <si>
    <t>Luces led para iluminacion de stand (Tegucigalpa)</t>
  </si>
  <si>
    <t>sillas cocteleras (Tegucigalpa )</t>
  </si>
  <si>
    <t>Mesas Cocteleras  (Tegucigalpa)</t>
  </si>
  <si>
    <t>2025-158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</si>
</sst>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10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164" fontId="10" fillId="3" borderId="3" xfId="2" applyNumberFormat="1" applyBorder="1" applyAlignment="1"/>
    <xf numFmtId="0" fontId="12" fillId="2" borderId="3" xfId="2" applyFont="1" applyFill="1" applyBorder="1" applyAlignment="1">
      <alignment horizontal="center"/>
    </xf>
    <xf numFmtId="164" fontId="12" fillId="2" borderId="3" xfId="2" applyNumberFormat="1" applyFont="1" applyFill="1" applyBorder="1"/>
    <xf numFmtId="164" fontId="13" fillId="2" borderId="3" xfId="0" applyNumberFormat="1" applyFont="1" applyFill="1" applyBorder="1"/>
    <xf numFmtId="0" fontId="8" fillId="2" borderId="8" xfId="1" applyFont="1" applyFill="1" applyBorder="1" applyAlignment="1">
      <alignment horizontal="center"/>
    </xf>
    <xf numFmtId="164" fontId="10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4" fillId="0" borderId="0" xfId="0" applyFont="1"/>
    <xf numFmtId="0" fontId="14" fillId="3" borderId="3" xfId="2" applyFont="1" applyBorder="1" applyAlignment="1">
      <alignment horizontal="center"/>
    </xf>
    <xf numFmtId="0" fontId="0" fillId="3" borderId="5" xfId="2" applyFont="1" applyBorder="1" applyAlignment="1">
      <alignment horizontal="left" vertical="center"/>
    </xf>
    <xf numFmtId="0" fontId="0" fillId="3" borderId="6" xfId="2" applyFont="1" applyBorder="1" applyAlignment="1">
      <alignment horizontal="left" vertical="center"/>
    </xf>
    <xf numFmtId="0" fontId="0" fillId="3" borderId="4" xfId="2" applyFont="1" applyBorder="1" applyAlignment="1">
      <alignment horizontal="left" vertical="center"/>
    </xf>
    <xf numFmtId="0" fontId="0" fillId="3" borderId="5" xfId="2" applyFont="1" applyBorder="1" applyAlignment="1">
      <alignment horizontal="left" vertical="top"/>
    </xf>
    <xf numFmtId="0" fontId="0" fillId="3" borderId="6" xfId="2" applyFont="1" applyBorder="1" applyAlignment="1">
      <alignment horizontal="left" vertical="top"/>
    </xf>
    <xf numFmtId="0" fontId="0" fillId="3" borderId="4" xfId="2" applyFont="1" applyBorder="1" applyAlignment="1">
      <alignment horizontal="left" vertical="top"/>
    </xf>
    <xf numFmtId="0" fontId="2" fillId="3" borderId="5" xfId="2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10" fillId="3" borderId="3" xfId="2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5" xfId="2" applyFont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2" fillId="3" borderId="5" xfId="2" applyFont="1" applyBorder="1" applyAlignment="1">
      <alignment horizontal="left"/>
    </xf>
    <xf numFmtId="0" fontId="1" fillId="3" borderId="5" xfId="2" applyFont="1" applyBorder="1" applyAlignment="1">
      <alignment horizontal="left" vertic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6706975"/>
          <a:ext cx="50716" cy="34052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88256</xdr:colOff>
      <xdr:row>30</xdr:row>
      <xdr:rowOff>119313</xdr:rowOff>
    </xdr:from>
    <xdr:to>
      <xdr:col>8</xdr:col>
      <xdr:colOff>19551</xdr:colOff>
      <xdr:row>34</xdr:row>
      <xdr:rowOff>85396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8256" y="6109805"/>
          <a:ext cx="6777572" cy="716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33</xdr:row>
      <xdr:rowOff>65483</xdr:rowOff>
    </xdr:from>
    <xdr:to>
      <xdr:col>4</xdr:col>
      <xdr:colOff>1031398</xdr:colOff>
      <xdr:row>43</xdr:row>
      <xdr:rowOff>92924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18683"/>
          <a:ext cx="3540136" cy="1879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6" zoomScale="120" zoomScaleNormal="65" zoomScaleSheetLayoutView="112" zoomScalePageLayoutView="120" workbookViewId="0">
      <selection activeCell="I10" sqref="I1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6"/>
      <c r="C1" s="36"/>
      <c r="D1" s="36"/>
      <c r="E1" s="36"/>
      <c r="F1" s="36"/>
      <c r="G1" s="36"/>
      <c r="H1" s="36"/>
    </row>
    <row r="6" spans="2:9">
      <c r="H6" s="8" t="s">
        <v>12</v>
      </c>
      <c r="I6" s="1"/>
    </row>
    <row r="7" spans="2:9">
      <c r="H7" s="51" t="s">
        <v>33</v>
      </c>
    </row>
    <row r="12" spans="2:9" ht="12.6" customHeight="1">
      <c r="B12" s="37" t="s">
        <v>14</v>
      </c>
      <c r="C12" s="37"/>
      <c r="D12" s="39" t="s">
        <v>19</v>
      </c>
      <c r="E12" s="40"/>
      <c r="F12" t="s">
        <v>11</v>
      </c>
      <c r="G12" s="41" t="s">
        <v>26</v>
      </c>
      <c r="H12" s="34"/>
    </row>
    <row r="13" spans="2:9" ht="14.4" customHeight="1">
      <c r="B13" s="37" t="s">
        <v>0</v>
      </c>
      <c r="C13" s="37"/>
      <c r="D13" s="43" t="s">
        <v>18</v>
      </c>
      <c r="E13" s="44"/>
      <c r="F13" s="1" t="s">
        <v>16</v>
      </c>
      <c r="G13" s="42"/>
      <c r="H13" s="42"/>
    </row>
    <row r="14" spans="2:9">
      <c r="B14" s="1" t="s">
        <v>1</v>
      </c>
      <c r="C14" s="1" t="s">
        <v>2</v>
      </c>
      <c r="D14" s="38" t="s">
        <v>3</v>
      </c>
      <c r="E14" s="38"/>
      <c r="F14" s="36" t="s">
        <v>10</v>
      </c>
      <c r="G14" s="36"/>
      <c r="H14" s="1" t="s">
        <v>13</v>
      </c>
    </row>
    <row r="15" spans="2:9">
      <c r="B15" s="2">
        <v>45777</v>
      </c>
      <c r="C15" s="1" t="s">
        <v>22</v>
      </c>
      <c r="D15" s="28"/>
      <c r="E15" s="29"/>
      <c r="F15" s="33"/>
      <c r="G15" s="34"/>
      <c r="H15" s="7" t="s">
        <v>17</v>
      </c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13" t="s">
        <v>7</v>
      </c>
    </row>
    <row r="17" spans="2:9">
      <c r="B17" s="4">
        <v>5</v>
      </c>
      <c r="C17" s="4">
        <v>3</v>
      </c>
      <c r="D17" s="31" t="s">
        <v>20</v>
      </c>
      <c r="E17" s="32"/>
      <c r="F17" s="32"/>
      <c r="G17" s="15">
        <v>3200</v>
      </c>
      <c r="H17" s="14">
        <f>B17*G17*C17</f>
        <v>48000</v>
      </c>
    </row>
    <row r="18" spans="2:9">
      <c r="B18" s="4">
        <v>1</v>
      </c>
      <c r="C18" s="4">
        <v>3</v>
      </c>
      <c r="D18" s="35" t="s">
        <v>27</v>
      </c>
      <c r="E18" s="25"/>
      <c r="F18" s="26"/>
      <c r="G18" s="15">
        <v>55000</v>
      </c>
      <c r="H18" s="14">
        <f t="shared" ref="H18:H30" si="0">B18*G18*C18</f>
        <v>165000</v>
      </c>
    </row>
    <row r="19" spans="2:9">
      <c r="B19" s="4">
        <v>5</v>
      </c>
      <c r="C19" s="4">
        <v>1</v>
      </c>
      <c r="D19" s="21" t="s">
        <v>21</v>
      </c>
      <c r="E19" s="22"/>
      <c r="F19" s="23"/>
      <c r="G19" s="15">
        <v>24000</v>
      </c>
      <c r="H19" s="14">
        <f t="shared" si="0"/>
        <v>120000</v>
      </c>
    </row>
    <row r="20" spans="2:9">
      <c r="B20" s="4">
        <v>1</v>
      </c>
      <c r="C20" s="4">
        <v>3</v>
      </c>
      <c r="D20" s="24" t="s">
        <v>29</v>
      </c>
      <c r="E20" s="25"/>
      <c r="F20" s="26"/>
      <c r="G20" s="15">
        <v>50000</v>
      </c>
      <c r="H20" s="14">
        <f>B20*G20*C20</f>
        <v>150000</v>
      </c>
    </row>
    <row r="21" spans="2:9">
      <c r="B21" s="4">
        <v>10</v>
      </c>
      <c r="C21" s="4">
        <v>1</v>
      </c>
      <c r="D21" s="27" t="s">
        <v>30</v>
      </c>
      <c r="E21" s="22"/>
      <c r="F21" s="23"/>
      <c r="G21" s="15">
        <v>350</v>
      </c>
      <c r="H21" s="14">
        <f t="shared" si="0"/>
        <v>3500</v>
      </c>
    </row>
    <row r="22" spans="2:9">
      <c r="B22" s="20">
        <v>5</v>
      </c>
      <c r="C22" s="4">
        <v>1</v>
      </c>
      <c r="D22" s="46" t="s">
        <v>24</v>
      </c>
      <c r="E22" s="47"/>
      <c r="F22" s="48"/>
      <c r="G22" s="15">
        <v>1000</v>
      </c>
      <c r="H22" s="14">
        <f t="shared" si="0"/>
        <v>5000</v>
      </c>
    </row>
    <row r="23" spans="2:9">
      <c r="B23" s="4">
        <v>5</v>
      </c>
      <c r="C23" s="4">
        <v>3</v>
      </c>
      <c r="D23" s="50" t="s">
        <v>32</v>
      </c>
      <c r="E23" s="22"/>
      <c r="F23" s="23"/>
      <c r="G23" s="15">
        <v>700</v>
      </c>
      <c r="H23" s="14">
        <f t="shared" si="0"/>
        <v>10500</v>
      </c>
    </row>
    <row r="24" spans="2:9">
      <c r="B24" s="4">
        <v>10</v>
      </c>
      <c r="C24" s="4">
        <v>3</v>
      </c>
      <c r="D24" s="50" t="s">
        <v>31</v>
      </c>
      <c r="E24" s="22"/>
      <c r="F24" s="23"/>
      <c r="G24" s="15">
        <v>250</v>
      </c>
      <c r="H24" s="14">
        <f t="shared" si="0"/>
        <v>7500</v>
      </c>
    </row>
    <row r="25" spans="2:9">
      <c r="B25" s="4">
        <v>5</v>
      </c>
      <c r="C25" s="4">
        <v>2</v>
      </c>
      <c r="D25" s="21" t="s">
        <v>23</v>
      </c>
      <c r="E25" s="22"/>
      <c r="F25" s="23"/>
      <c r="G25" s="15">
        <v>1000</v>
      </c>
      <c r="H25" s="14">
        <f t="shared" si="0"/>
        <v>10000</v>
      </c>
    </row>
    <row r="26" spans="2:9">
      <c r="B26" s="4">
        <v>1</v>
      </c>
      <c r="C26" s="4">
        <v>1</v>
      </c>
      <c r="D26" s="49" t="s">
        <v>28</v>
      </c>
      <c r="E26" s="47"/>
      <c r="F26" s="48"/>
      <c r="G26" s="15">
        <v>0</v>
      </c>
      <c r="H26" s="14">
        <f t="shared" si="0"/>
        <v>0</v>
      </c>
    </row>
    <row r="27" spans="2:9">
      <c r="B27" s="4">
        <v>9</v>
      </c>
      <c r="C27" s="4">
        <v>3</v>
      </c>
      <c r="D27" s="49" t="s">
        <v>25</v>
      </c>
      <c r="E27" s="47"/>
      <c r="F27" s="48"/>
      <c r="G27" s="15">
        <v>0</v>
      </c>
      <c r="H27" s="14">
        <f t="shared" si="0"/>
        <v>0</v>
      </c>
    </row>
    <row r="28" spans="2:9">
      <c r="B28" s="4"/>
      <c r="C28" s="6"/>
      <c r="D28" s="16"/>
      <c r="E28" s="17"/>
      <c r="F28" s="18"/>
      <c r="G28" s="15"/>
      <c r="H28" s="14">
        <f>B26*G28*C26</f>
        <v>0</v>
      </c>
    </row>
    <row r="29" spans="2:9">
      <c r="B29" s="4"/>
      <c r="C29" s="6"/>
      <c r="D29" s="16"/>
      <c r="E29" s="17"/>
      <c r="F29" s="18"/>
      <c r="G29" s="15"/>
      <c r="H29" s="14">
        <f>B27*G29*C27</f>
        <v>0</v>
      </c>
      <c r="I29" s="19"/>
    </row>
    <row r="30" spans="2:9">
      <c r="B30" s="4"/>
      <c r="C30" s="6"/>
      <c r="D30" s="16"/>
      <c r="E30" s="17"/>
      <c r="F30" s="18"/>
      <c r="G30" s="9"/>
      <c r="H30" s="14">
        <f t="shared" si="0"/>
        <v>0</v>
      </c>
    </row>
    <row r="31" spans="2:9">
      <c r="D31" s="45"/>
      <c r="E31" s="45"/>
      <c r="F31" s="45"/>
      <c r="G31" s="10" t="s">
        <v>9</v>
      </c>
      <c r="H31" s="11">
        <f>SUM(H17:H30)</f>
        <v>519500</v>
      </c>
    </row>
    <row r="32" spans="2:9">
      <c r="G32" s="10" t="s">
        <v>15</v>
      </c>
      <c r="H32" s="12">
        <f>H31*0.15</f>
        <v>77925</v>
      </c>
    </row>
    <row r="33" spans="2:8">
      <c r="G33" s="10" t="s">
        <v>9</v>
      </c>
      <c r="H33" s="12">
        <f>H32+H31</f>
        <v>597425</v>
      </c>
    </row>
    <row r="35" spans="2:8" ht="15" customHeight="1"/>
    <row r="37" spans="2:8" ht="15" customHeight="1"/>
    <row r="38" spans="2:8" ht="14.4" customHeight="1"/>
    <row r="40" spans="2:8" ht="12.6" customHeight="1"/>
    <row r="43" spans="2:8">
      <c r="B43" s="5"/>
      <c r="C43" s="5"/>
      <c r="D43" s="5"/>
      <c r="E43" s="5"/>
      <c r="F43" s="5"/>
      <c r="G43" s="5"/>
      <c r="H43" s="5"/>
    </row>
    <row r="46" spans="2:8" ht="13.2" customHeight="1"/>
    <row r="48" spans="2:8" ht="14.4" customHeight="1"/>
    <row r="49" ht="13.8" customHeight="1"/>
    <row r="50" ht="16.05" customHeight="1"/>
    <row r="52" ht="6" customHeight="1"/>
    <row r="53" ht="9.75" customHeight="1"/>
  </sheetData>
  <mergeCells count="24">
    <mergeCell ref="D31:F31"/>
    <mergeCell ref="D23:F23"/>
    <mergeCell ref="D20:F20"/>
    <mergeCell ref="D22:F22"/>
    <mergeCell ref="D21:F21"/>
    <mergeCell ref="D26:F26"/>
    <mergeCell ref="D27:F2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5:F25"/>
    <mergeCell ref="D15:E15"/>
    <mergeCell ref="D16:F16"/>
    <mergeCell ref="D17:F17"/>
    <mergeCell ref="F15:G15"/>
    <mergeCell ref="D18:F18"/>
    <mergeCell ref="D24:F24"/>
  </mergeCells>
  <phoneticPr fontId="11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2025-05-02T22:04:40Z</cp:lastPrinted>
  <dcterms:created xsi:type="dcterms:W3CDTF">2022-10-19T19:05:00Z</dcterms:created>
  <dcterms:modified xsi:type="dcterms:W3CDTF">2025-05-02T22:06:44Z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