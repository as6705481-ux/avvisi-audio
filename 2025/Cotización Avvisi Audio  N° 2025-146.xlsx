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157D0C01-C5B9-4117-B7D1-BD782818D96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9" i="1" l="1"/>
  <c r="H30" i="1" l="1"/>
  <c r="H31" i="1" s="1"/>
</calcChain>
</file>

<file path=xl/sharedStrings.xml><?xml version="1.0" encoding="utf-8"?>
<sst xmlns="http://schemas.openxmlformats.org/spreadsheetml/2006/main" count="31" uniqueCount="30">
  <si>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</si>
  <si>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</si>
  <si>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</si>
  <si>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</si>
  <si>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</si>
  <si>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</si>
  <si>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</si>
  <si>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</si>
  <si>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</si>
  <si>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</si>
  <si>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</si>
  <si>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</si>
  <si>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</si>
  <si>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</si>
  <si>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</si>
  <si>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</si>
  <si>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</si>
  <si>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 xml:space="preserve">2 dias </t>
  </si>
  <si>
    <t>No determinado</t>
  </si>
  <si>
    <t>Tecun</t>
  </si>
  <si>
    <t xml:space="preserve">Siguatepeque </t>
  </si>
  <si>
    <t xml:space="preserve"> 15 y 16 de mayo </t>
  </si>
  <si>
    <t xml:space="preserve">Estad de marca </t>
  </si>
  <si>
    <t xml:space="preserve">Carlos Cruz </t>
  </si>
  <si>
    <t>2025-146</t>
  </si>
  <si>
    <t xml:space="preserve">Pantalla led 3 x 2 Metros </t>
  </si>
  <si>
    <t xml:space="preserve">Tarima 3 x 3 en blanco </t>
  </si>
  <si>
    <t xml:space="preserve">Baking lateral con impresiones 3D en PVC </t>
  </si>
  <si>
    <t xml:space="preserve">Traslado , montaje , desmontaje y personal </t>
  </si>
  <si>
    <t xml:space="preserve">Iluminacion de Estad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</si>
</sst>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207634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28</xdr:row>
      <xdr:rowOff>35608</xdr:rowOff>
    </xdr:from>
    <xdr:to>
      <xdr:col>7</xdr:col>
      <xdr:colOff>1050524</xdr:colOff>
      <xdr:row>38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37</xdr:row>
      <xdr:rowOff>601411</xdr:rowOff>
    </xdr:from>
    <xdr:to>
      <xdr:col>4</xdr:col>
      <xdr:colOff>168596</xdr:colOff>
      <xdr:row>39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37</xdr:row>
      <xdr:rowOff>612567</xdr:rowOff>
    </xdr:from>
    <xdr:to>
      <xdr:col>7</xdr:col>
      <xdr:colOff>991200</xdr:colOff>
      <xdr:row>41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34</xdr:row>
      <xdr:rowOff>149553</xdr:rowOff>
    </xdr:from>
    <xdr:to>
      <xdr:col>4</xdr:col>
      <xdr:colOff>1032164</xdr:colOff>
      <xdr:row>41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7"/>
  <sheetViews>
    <sheetView tabSelected="1" topLeftCell="A10" zoomScale="110" zoomScaleNormal="110" zoomScaleSheetLayoutView="112" zoomScalePageLayoutView="107" workbookViewId="0">
      <selection activeCell="G21" sqref="G21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2" t="s">
        <v>24</v>
      </c>
    </row>
    <row r="12" spans="2:9" ht="12.6" customHeight="1">
      <c r="B12" s="24" t="s">
        <v>14</v>
      </c>
      <c r="C12" s="24"/>
      <c r="D12" s="33" t="s">
        <v>19</v>
      </c>
      <c r="E12" s="26"/>
      <c r="F12" t="s">
        <v>11</v>
      </c>
      <c r="G12" s="27" t="s">
        <v>23</v>
      </c>
      <c r="H12" s="27"/>
    </row>
    <row r="13" spans="2:9" ht="14.4" customHeight="1">
      <c r="B13" s="24" t="s">
        <v>0</v>
      </c>
      <c r="C13" s="24"/>
      <c r="D13" s="34" t="s">
        <v>20</v>
      </c>
      <c r="E13" s="29"/>
      <c r="F13" s="1" t="s">
        <v>16</v>
      </c>
      <c r="G13" s="28"/>
      <c r="H13" s="28"/>
    </row>
    <row r="14" spans="2:9">
      <c r="B14" s="1" t="s">
        <v>1</v>
      </c>
      <c r="C14" s="1" t="s">
        <v>2</v>
      </c>
      <c r="D14" s="25" t="s">
        <v>3</v>
      </c>
      <c r="E14" s="25"/>
      <c r="F14" s="23" t="s">
        <v>10</v>
      </c>
      <c r="G14" s="23"/>
      <c r="H14" s="1" t="s">
        <v>13</v>
      </c>
    </row>
    <row r="15" spans="2:9">
      <c r="B15" s="2">
        <v>45771</v>
      </c>
      <c r="C15" s="1" t="s">
        <v>17</v>
      </c>
      <c r="D15" s="35" t="s">
        <v>21</v>
      </c>
      <c r="E15" s="30"/>
      <c r="F15" s="36" t="s">
        <v>22</v>
      </c>
      <c r="G15" s="27"/>
      <c r="H15" s="7" t="s">
        <v>18</v>
      </c>
    </row>
    <row r="16" spans="2:9" ht="15.6">
      <c r="B16" s="3" t="s">
        <v>4</v>
      </c>
      <c r="C16" s="3" t="s">
        <v>8</v>
      </c>
      <c r="D16" s="31" t="s">
        <v>5</v>
      </c>
      <c r="E16" s="31"/>
      <c r="F16" s="31"/>
      <c r="G16" s="3" t="s">
        <v>6</v>
      </c>
      <c r="H16" s="15" t="s">
        <v>7</v>
      </c>
    </row>
    <row r="17" spans="2:8">
      <c r="B17" s="4">
        <v>1</v>
      </c>
      <c r="C17" s="6">
        <v>2</v>
      </c>
      <c r="D17" s="17" t="s">
        <v>25</v>
      </c>
      <c r="E17" s="18"/>
      <c r="F17" s="18"/>
      <c r="G17" s="13">
        <v>12000</v>
      </c>
      <c r="H17" s="16">
        <f t="shared" ref="H17:H28" si="0">B17*G17*C17</f>
        <v>24000</v>
      </c>
    </row>
    <row r="18" spans="2:8">
      <c r="B18" s="4">
        <v>1</v>
      </c>
      <c r="C18" s="6">
        <v>2</v>
      </c>
      <c r="D18" s="17" t="s">
        <v>26</v>
      </c>
      <c r="E18" s="18"/>
      <c r="F18" s="18"/>
      <c r="G18" s="14">
        <v>5600</v>
      </c>
      <c r="H18" s="16">
        <f t="shared" si="0"/>
        <v>11200</v>
      </c>
    </row>
    <row r="19" spans="2:8">
      <c r="B19" s="4">
        <v>1</v>
      </c>
      <c r="C19" s="6">
        <v>1</v>
      </c>
      <c r="D19" s="17" t="s">
        <v>27</v>
      </c>
      <c r="E19" s="18"/>
      <c r="F19" s="18"/>
      <c r="G19" s="13">
        <v>16000</v>
      </c>
      <c r="H19" s="16">
        <f t="shared" si="0"/>
        <v>16000</v>
      </c>
    </row>
    <row r="20" spans="2:8">
      <c r="B20" s="4">
        <v>1</v>
      </c>
      <c r="C20" s="6">
        <v>1</v>
      </c>
      <c r="D20" s="17" t="s">
        <v>28</v>
      </c>
      <c r="E20" s="18"/>
      <c r="F20" s="18"/>
      <c r="G20" s="13">
        <v>17500</v>
      </c>
      <c r="H20" s="16">
        <f t="shared" si="0"/>
        <v>17500</v>
      </c>
    </row>
    <row r="21" spans="2:8">
      <c r="B21" s="6">
        <v>1</v>
      </c>
      <c r="C21" s="6">
        <v>1</v>
      </c>
      <c r="D21" s="17" t="s">
        <v>29</v>
      </c>
      <c r="E21" s="18"/>
      <c r="F21" s="18"/>
      <c r="G21" s="13"/>
      <c r="H21" s="16"/>
    </row>
    <row r="22" spans="2:8">
      <c r="B22" s="4"/>
      <c r="C22" s="6"/>
      <c r="D22" s="19"/>
      <c r="E22" s="20"/>
      <c r="F22" s="21"/>
      <c r="G22" s="13"/>
      <c r="H22" s="16"/>
    </row>
    <row r="23" spans="2:8">
      <c r="B23" s="4"/>
      <c r="C23" s="6"/>
      <c r="D23" s="19"/>
      <c r="E23" s="20"/>
      <c r="F23" s="21"/>
      <c r="G23" s="13"/>
      <c r="H23" s="16"/>
    </row>
    <row r="24" spans="2:8">
      <c r="B24" s="4"/>
      <c r="C24" s="6"/>
      <c r="D24" s="19"/>
      <c r="E24" s="20"/>
      <c r="F24" s="21"/>
      <c r="G24" s="13"/>
      <c r="H24" s="16"/>
    </row>
    <row r="25" spans="2:8">
      <c r="B25" s="4"/>
      <c r="C25" s="6"/>
      <c r="D25" s="19"/>
      <c r="E25" s="20"/>
      <c r="F25" s="21"/>
      <c r="G25" s="9"/>
      <c r="H25" s="16"/>
    </row>
    <row r="26" spans="2:8">
      <c r="B26" s="4"/>
      <c r="C26" s="6"/>
      <c r="D26" s="19"/>
      <c r="E26" s="20"/>
      <c r="F26" s="21"/>
      <c r="G26" s="9"/>
      <c r="H26" s="16"/>
    </row>
    <row r="27" spans="2:8">
      <c r="B27" s="4"/>
      <c r="C27" s="6"/>
      <c r="D27" s="19"/>
      <c r="E27" s="20"/>
      <c r="F27" s="21"/>
      <c r="G27" s="9"/>
      <c r="H27" s="16"/>
    </row>
    <row r="28" spans="2:8">
      <c r="B28" s="4"/>
      <c r="C28" s="6"/>
      <c r="D28" s="19"/>
      <c r="E28" s="20"/>
      <c r="F28" s="21"/>
      <c r="G28" s="9"/>
      <c r="H28" s="16"/>
    </row>
    <row r="29" spans="2:8">
      <c r="D29" s="22"/>
      <c r="E29" s="22"/>
      <c r="F29" s="22"/>
      <c r="G29" s="10" t="s">
        <v>9</v>
      </c>
      <c r="H29" s="11">
        <f>SUM(H17:H28)</f>
        <v>68700</v>
      </c>
    </row>
    <row r="30" spans="2:8">
      <c r="G30" s="10" t="s">
        <v>15</v>
      </c>
      <c r="H30" s="12">
        <f>H29*0.15</f>
        <v>10305</v>
      </c>
    </row>
    <row r="31" spans="2:8">
      <c r="G31" s="10" t="s">
        <v>9</v>
      </c>
      <c r="H31" s="12">
        <f>H30+H29</f>
        <v>79005</v>
      </c>
    </row>
    <row r="38" spans="2:8" ht="62.4" customHeight="1"/>
    <row r="40" spans="2:8" ht="27.6" customHeight="1"/>
    <row r="41" spans="2:8" ht="5.4" customHeight="1">
      <c r="B41" s="5"/>
      <c r="C41" s="5"/>
      <c r="D41" s="5"/>
      <c r="E41" s="5"/>
      <c r="F41" s="5"/>
      <c r="G41" s="5"/>
      <c r="H41" s="5"/>
    </row>
    <row r="43" spans="2:8" ht="25.2" customHeight="1"/>
    <row r="50" ht="21" customHeight="1"/>
    <row r="52" ht="1.95" customHeight="1"/>
    <row r="53" ht="7.95" customHeight="1"/>
    <row r="54" ht="16.05" customHeight="1"/>
    <row r="56" ht="6" customHeight="1"/>
    <row r="57" ht="9.75" customHeight="1"/>
  </sheetData>
  <mergeCells count="25">
    <mergeCell ref="D15:E15"/>
    <mergeCell ref="D16:F16"/>
    <mergeCell ref="F15:G15"/>
    <mergeCell ref="D17:F1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8:F18"/>
    <mergeCell ref="D28:F28"/>
    <mergeCell ref="D29:F29"/>
    <mergeCell ref="D22:F22"/>
    <mergeCell ref="D21:F21"/>
    <mergeCell ref="D19:F19"/>
    <mergeCell ref="D20:F20"/>
    <mergeCell ref="D27:F27"/>
    <mergeCell ref="D24:F24"/>
    <mergeCell ref="D23:F23"/>
    <mergeCell ref="D26:F26"/>
    <mergeCell ref="D25:F25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2025-04-24T17:43:59Z</cp:lastPrinted>
  <dcterms:created xsi:type="dcterms:W3CDTF">2022-10-19T19:05:00Z</dcterms:created>
  <dcterms:modified xsi:type="dcterms:W3CDTF">2025-04-24T18:25:51Z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