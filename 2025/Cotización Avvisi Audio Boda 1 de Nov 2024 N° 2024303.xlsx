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826409E6-E570-440A-8FA9-D8BE6FC0C49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17" i="1"/>
  <c r="H34" i="1" l="1"/>
</calcChain>
</file>

<file path=xl/sharedStrings.xml><?xml version="1.0" encoding="utf-8"?>
<sst xmlns="http://schemas.openxmlformats.org/spreadsheetml/2006/main" count="35" uniqueCount="35">
  <si>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</si>
  <si>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</si>
  <si>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</si>
  <si>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</si>
  <si>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</si>
  <si>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</si>
  <si>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</si>
  <si>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</si>
  <si>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</si>
  <si>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</si>
  <si>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</si>
  <si>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</si>
  <si>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</si>
  <si>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</si>
  <si>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 14/06/2024</t>
  </si>
  <si>
    <t xml:space="preserve">Microfonos Inalambricos </t>
  </si>
  <si>
    <t>Parlantes JBL PRX 825</t>
  </si>
  <si>
    <t xml:space="preserve">Bajos dobles 18 </t>
  </si>
  <si>
    <t xml:space="preserve">Consola de audio 10 canales </t>
  </si>
  <si>
    <t xml:space="preserve">Luces roboticas 7r 230w </t>
  </si>
  <si>
    <t xml:space="preserve">Maquina de Humo </t>
  </si>
  <si>
    <t xml:space="preserve">Luces led para salon </t>
  </si>
  <si>
    <t xml:space="preserve">Pirotecnias frias </t>
  </si>
  <si>
    <t xml:space="preserve">Modulos de pantalla led para montaje </t>
  </si>
  <si>
    <t xml:space="preserve">Paneles de montaje 3D decorativo </t>
  </si>
  <si>
    <t xml:space="preserve">DJ Profesional y tornamesa </t>
  </si>
  <si>
    <t xml:space="preserve">Transporte ida y vuelta </t>
  </si>
  <si>
    <t>Personal tecnico y Staff</t>
  </si>
  <si>
    <t xml:space="preserve">1 de Noviembre </t>
  </si>
  <si>
    <t xml:space="preserve">Boda </t>
  </si>
  <si>
    <t>2024-303</t>
  </si>
  <si>
    <t xml:space="preserve">5 horas  </t>
  </si>
  <si>
    <t>Hotel Clarion Tegucigalpa</t>
  </si>
  <si>
    <t xml:space="preserve">Fernanda Eventos </t>
  </si>
  <si>
    <t xml:space="preserve">Pista led  infinity 5 x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</si>
</sst>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4" borderId="5" applyNumberFormat="0" applyAlignment="0" applyProtection="0"/>
    <xf numFmtId="0" fontId="4" fillId="5" borderId="0" applyNumberFormat="0" applyBorder="0" applyAlignment="0" applyProtection="0"/>
    <xf numFmtId="0" fontId="5" fillId="3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5" fillId="3" borderId="3" xfId="3" applyBorder="1" applyAlignment="1">
      <alignment horizontal="center"/>
    </xf>
    <xf numFmtId="164" fontId="5" fillId="3" borderId="3" xfId="3" applyNumberFormat="1" applyBorder="1"/>
    <xf numFmtId="164" fontId="3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5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/>
    <xf numFmtId="0" fontId="5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5" fillId="3" borderId="3" xfId="3" applyBorder="1" applyAlignment="1">
      <alignment horizontal="left"/>
    </xf>
    <xf numFmtId="0" fontId="1" fillId="3" borderId="3" xfId="3" applyFont="1" applyBorder="1" applyAlignment="1">
      <alignment horizontal="left"/>
    </xf>
    <xf numFmtId="0" fontId="6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  <xf numFmtId="0" fontId="1" fillId="3" borderId="8" xfId="3" applyFont="1" applyBorder="1" applyAlignment="1">
      <alignment horizontal="left" vertical="center"/>
    </xf>
    <xf numFmtId="0" fontId="1" fillId="3" borderId="4" xfId="3" applyFont="1" applyBorder="1" applyAlignment="1">
      <alignment horizontal="left" vertical="center"/>
    </xf>
    <xf numFmtId="0" fontId="1" fillId="3" borderId="7" xfId="3" applyFont="1" applyBorder="1" applyAlignment="1">
      <alignment horizontal="left"/>
    </xf>
    <xf numFmtId="0" fontId="1" fillId="3" borderId="8" xfId="3" applyFont="1" applyBorder="1" applyAlignment="1">
      <alignment horizontal="left"/>
    </xf>
    <xf numFmtId="0" fontId="1" fillId="3" borderId="4" xfId="3" applyFont="1" applyBorder="1" applyAlignment="1">
      <alignment horizontal="left"/>
    </xf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5" fillId="3" borderId="7" xfId="3" applyBorder="1" applyAlignment="1">
      <alignment horizontal="left" vertical="center"/>
    </xf>
    <xf numFmtId="0" fontId="5" fillId="3" borderId="8" xfId="3" applyBorder="1" applyAlignment="1">
      <alignment horizontal="left" vertical="center"/>
    </xf>
    <xf numFmtId="0" fontId="0" fillId="0" borderId="2" xfId="0" applyBorder="1"/>
    <xf numFmtId="0" fontId="0" fillId="0" borderId="0" xfId="0" applyBorder="1"/>
    <xf numFmtId="0" fontId="7" fillId="6" borderId="0" xfId="3" applyFont="1" applyFill="1" applyBorder="1" applyAlignment="1">
      <alignment horizontal="center"/>
    </xf>
    <xf numFmtId="164" fontId="7" fillId="6" borderId="0" xfId="3" applyNumberFormat="1" applyFont="1" applyFill="1" applyBorder="1"/>
    <xf numFmtId="0" fontId="7" fillId="6" borderId="0" xfId="1" applyFont="1" applyFill="1" applyBorder="1" applyAlignment="1">
      <alignment horizontal="center"/>
    </xf>
    <xf numFmtId="164" fontId="7" fillId="6" borderId="0" xfId="1" applyNumberFormat="1" applyFont="1" applyFill="1" applyBorder="1"/>
    <xf numFmtId="0" fontId="3" fillId="2" borderId="3" xfId="3" applyFont="1" applyFill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7576925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247650</xdr:colOff>
      <xdr:row>33</xdr:row>
      <xdr:rowOff>101667</xdr:rowOff>
    </xdr:from>
    <xdr:to>
      <xdr:col>8</xdr:col>
      <xdr:colOff>214313</xdr:colOff>
      <xdr:row>45</xdr:row>
      <xdr:rowOff>161925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6134167"/>
          <a:ext cx="6443663" cy="23859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28" zoomScale="96" zoomScaleNormal="100" zoomScaleSheetLayoutView="112" zoomScalePageLayoutView="96" workbookViewId="0">
      <selection activeCell="D30" sqref="D30:F30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4"/>
      <c r="C1" s="14"/>
      <c r="D1" s="14"/>
      <c r="E1" s="14"/>
      <c r="F1" s="14"/>
      <c r="G1" s="14"/>
      <c r="H1" s="14"/>
    </row>
    <row r="5" spans="2:9" ht="15" thickBot="1"/>
    <row r="6" spans="2:9" ht="15" thickBot="1">
      <c r="H6" s="11" t="s">
        <v>13</v>
      </c>
      <c r="I6" s="11" t="s">
        <v>30</v>
      </c>
    </row>
    <row r="12" spans="2:9" ht="12.6" customHeight="1">
      <c r="B12" s="15" t="s">
        <v>0</v>
      </c>
      <c r="C12" s="15"/>
      <c r="D12" s="44" t="s">
        <v>33</v>
      </c>
      <c r="E12" s="16"/>
      <c r="F12" t="s">
        <v>12</v>
      </c>
      <c r="G12" s="18"/>
      <c r="H12" s="18"/>
    </row>
    <row r="13" spans="2:9" ht="14.4" customHeight="1">
      <c r="B13" s="15" t="s">
        <v>1</v>
      </c>
      <c r="C13" s="15"/>
      <c r="D13" s="44" t="s">
        <v>32</v>
      </c>
      <c r="E13" s="16"/>
      <c r="F13" s="16"/>
      <c r="G13" s="16"/>
    </row>
    <row r="14" spans="2:9">
      <c r="B14" s="1" t="s">
        <v>2</v>
      </c>
      <c r="C14" s="1" t="s">
        <v>3</v>
      </c>
      <c r="D14" s="17" t="s">
        <v>4</v>
      </c>
      <c r="E14" s="17"/>
      <c r="F14" s="14" t="s">
        <v>11</v>
      </c>
      <c r="G14" s="14"/>
      <c r="H14" s="14"/>
    </row>
    <row r="15" spans="2:9">
      <c r="B15" s="2" t="s">
        <v>14</v>
      </c>
      <c r="C15" s="1" t="s">
        <v>31</v>
      </c>
      <c r="D15" s="19" t="s">
        <v>28</v>
      </c>
      <c r="E15" s="19"/>
      <c r="F15" s="18" t="s">
        <v>29</v>
      </c>
      <c r="G15" s="18"/>
      <c r="H15" s="18"/>
    </row>
    <row r="16" spans="2:9" ht="15.6">
      <c r="B16" s="3" t="s">
        <v>5</v>
      </c>
      <c r="C16" s="3" t="s">
        <v>9</v>
      </c>
      <c r="D16" s="20" t="s">
        <v>6</v>
      </c>
      <c r="E16" s="20"/>
      <c r="F16" s="20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21" t="s">
        <v>16</v>
      </c>
      <c r="E17" s="22"/>
      <c r="F17" s="22"/>
      <c r="G17" s="5">
        <v>1000</v>
      </c>
      <c r="H17" s="9">
        <f>G17*B17*C17</f>
        <v>2000</v>
      </c>
    </row>
    <row r="18" spans="2:8">
      <c r="B18" s="4">
        <v>2</v>
      </c>
      <c r="C18" s="10">
        <v>1</v>
      </c>
      <c r="D18" s="23" t="s">
        <v>17</v>
      </c>
      <c r="E18" s="24"/>
      <c r="F18" s="24"/>
      <c r="G18" s="5">
        <v>1000</v>
      </c>
      <c r="H18" s="9">
        <f t="shared" ref="H18:H30" si="0">G18*B18*C18</f>
        <v>2000</v>
      </c>
    </row>
    <row r="19" spans="2:8">
      <c r="B19" s="4">
        <v>1</v>
      </c>
      <c r="C19" s="10">
        <v>1</v>
      </c>
      <c r="D19" s="23" t="s">
        <v>18</v>
      </c>
      <c r="E19" s="22"/>
      <c r="F19" s="22"/>
      <c r="G19" s="5">
        <v>500</v>
      </c>
      <c r="H19" s="9">
        <f t="shared" si="0"/>
        <v>500</v>
      </c>
    </row>
    <row r="20" spans="2:8">
      <c r="B20" s="4">
        <v>2</v>
      </c>
      <c r="C20" s="10">
        <v>1</v>
      </c>
      <c r="D20" s="23" t="s">
        <v>15</v>
      </c>
      <c r="E20" s="22"/>
      <c r="F20" s="22"/>
      <c r="G20" s="5">
        <v>250</v>
      </c>
      <c r="H20" s="9">
        <f t="shared" si="0"/>
        <v>500</v>
      </c>
    </row>
    <row r="21" spans="2:8">
      <c r="B21" s="4">
        <v>4</v>
      </c>
      <c r="C21" s="10">
        <v>1</v>
      </c>
      <c r="D21" s="25" t="s">
        <v>19</v>
      </c>
      <c r="E21" s="13"/>
      <c r="F21" s="13"/>
      <c r="G21" s="5">
        <v>500</v>
      </c>
      <c r="H21" s="9">
        <f t="shared" si="0"/>
        <v>2000</v>
      </c>
    </row>
    <row r="22" spans="2:8">
      <c r="B22" s="4">
        <v>1</v>
      </c>
      <c r="C22" s="10">
        <v>1</v>
      </c>
      <c r="D22" s="25" t="s">
        <v>20</v>
      </c>
      <c r="E22" s="13"/>
      <c r="F22" s="13"/>
      <c r="G22" s="5">
        <v>500</v>
      </c>
      <c r="H22" s="9">
        <f t="shared" si="0"/>
        <v>500</v>
      </c>
    </row>
    <row r="23" spans="2:8">
      <c r="B23" s="4">
        <v>10</v>
      </c>
      <c r="C23" s="10">
        <v>1</v>
      </c>
      <c r="D23" s="25" t="s">
        <v>21</v>
      </c>
      <c r="E23" s="13"/>
      <c r="F23" s="13"/>
      <c r="G23" s="5">
        <v>150</v>
      </c>
      <c r="H23" s="9">
        <f t="shared" si="0"/>
        <v>1500</v>
      </c>
    </row>
    <row r="24" spans="2:8">
      <c r="B24" s="4">
        <v>4</v>
      </c>
      <c r="C24" s="10">
        <v>1</v>
      </c>
      <c r="D24" s="25" t="s">
        <v>22</v>
      </c>
      <c r="E24" s="13"/>
      <c r="F24" s="13"/>
      <c r="G24" s="5">
        <v>1000</v>
      </c>
      <c r="H24" s="9">
        <f t="shared" si="0"/>
        <v>4000</v>
      </c>
    </row>
    <row r="25" spans="2:8">
      <c r="B25" s="4">
        <v>30</v>
      </c>
      <c r="C25" s="10">
        <v>1</v>
      </c>
      <c r="D25" s="26" t="s">
        <v>23</v>
      </c>
      <c r="E25" s="27"/>
      <c r="F25" s="28"/>
      <c r="G25" s="5">
        <v>350</v>
      </c>
      <c r="H25" s="9">
        <f t="shared" si="0"/>
        <v>10500</v>
      </c>
    </row>
    <row r="26" spans="2:8">
      <c r="B26" s="4">
        <v>16</v>
      </c>
      <c r="C26" s="10">
        <v>1</v>
      </c>
      <c r="D26" s="23" t="s">
        <v>24</v>
      </c>
      <c r="E26" s="22"/>
      <c r="F26" s="22"/>
      <c r="G26" s="5">
        <v>100</v>
      </c>
      <c r="H26" s="9">
        <f t="shared" si="0"/>
        <v>1600</v>
      </c>
    </row>
    <row r="27" spans="2:8">
      <c r="B27" s="4">
        <v>1</v>
      </c>
      <c r="C27" s="10">
        <v>1</v>
      </c>
      <c r="D27" s="29" t="s">
        <v>25</v>
      </c>
      <c r="E27" s="30"/>
      <c r="F27" s="31"/>
      <c r="G27" s="5">
        <v>2500</v>
      </c>
      <c r="H27" s="9">
        <f t="shared" si="0"/>
        <v>2500</v>
      </c>
    </row>
    <row r="28" spans="2:8">
      <c r="B28" s="4">
        <v>1</v>
      </c>
      <c r="C28" s="10">
        <v>1</v>
      </c>
      <c r="D28" s="25" t="s">
        <v>26</v>
      </c>
      <c r="E28" s="13"/>
      <c r="F28" s="13"/>
      <c r="G28" s="5">
        <v>1000</v>
      </c>
      <c r="H28" s="9">
        <f t="shared" si="0"/>
        <v>1000</v>
      </c>
    </row>
    <row r="29" spans="2:8">
      <c r="B29" s="4">
        <v>4</v>
      </c>
      <c r="C29" s="10">
        <v>1</v>
      </c>
      <c r="D29" s="25" t="s">
        <v>27</v>
      </c>
      <c r="E29" s="13"/>
      <c r="F29" s="13"/>
      <c r="G29" s="5">
        <v>500</v>
      </c>
      <c r="H29" s="9">
        <f t="shared" si="0"/>
        <v>2000</v>
      </c>
    </row>
    <row r="30" spans="2:8">
      <c r="B30" s="4">
        <v>1</v>
      </c>
      <c r="C30" s="10">
        <v>1</v>
      </c>
      <c r="D30" s="26" t="s">
        <v>34</v>
      </c>
      <c r="E30" s="27"/>
      <c r="F30" s="28"/>
      <c r="G30" s="5">
        <v>15000</v>
      </c>
      <c r="H30" s="9">
        <f t="shared" si="0"/>
        <v>15000</v>
      </c>
    </row>
    <row r="31" spans="2:8">
      <c r="B31" s="4"/>
      <c r="C31" s="10"/>
      <c r="D31" s="32"/>
      <c r="E31" s="33"/>
      <c r="F31" s="34"/>
      <c r="G31" s="5"/>
      <c r="H31" s="9"/>
    </row>
    <row r="32" spans="2:8">
      <c r="B32" s="4"/>
      <c r="C32" s="10"/>
      <c r="D32" s="32"/>
      <c r="E32" s="33"/>
      <c r="F32" s="34"/>
      <c r="G32" s="8"/>
      <c r="H32" s="9"/>
    </row>
    <row r="33" spans="2:8">
      <c r="B33" s="4"/>
      <c r="C33" s="4"/>
      <c r="D33" s="35"/>
      <c r="E33" s="36"/>
      <c r="F33" s="36"/>
      <c r="G33" s="5"/>
      <c r="H33" s="9"/>
    </row>
    <row r="34" spans="2:8">
      <c r="D34" s="37"/>
      <c r="E34" s="37"/>
      <c r="F34" s="37"/>
      <c r="G34" s="43" t="s">
        <v>10</v>
      </c>
      <c r="H34" s="6">
        <f>SUM(H17:H33)</f>
        <v>45600</v>
      </c>
    </row>
    <row r="35" spans="2:8">
      <c r="D35" s="12"/>
      <c r="E35" s="12"/>
      <c r="F35" s="12"/>
      <c r="G35" s="39"/>
      <c r="H35" s="40"/>
    </row>
    <row r="36" spans="2:8">
      <c r="D36" s="12"/>
      <c r="E36" s="12"/>
      <c r="F36" s="38"/>
      <c r="G36" s="41"/>
      <c r="H36" s="42"/>
    </row>
    <row r="45" spans="2:8" ht="25.2" customHeight="1"/>
    <row r="48" spans="2:8">
      <c r="B48" s="7"/>
      <c r="C48" s="7"/>
      <c r="D48" s="7"/>
      <c r="E48" s="7"/>
      <c r="F48" s="7"/>
      <c r="G48" s="7"/>
      <c r="H48" s="7"/>
    </row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31">
    <mergeCell ref="D24:F24"/>
    <mergeCell ref="D25:F25"/>
    <mergeCell ref="D19:F19"/>
    <mergeCell ref="D20:F20"/>
    <mergeCell ref="D21:F21"/>
    <mergeCell ref="D22:F22"/>
    <mergeCell ref="D23:F23"/>
    <mergeCell ref="D26:F26"/>
    <mergeCell ref="D28:F28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  <mergeCell ref="D18:F18"/>
    <mergeCell ref="D34:F34"/>
    <mergeCell ref="D35:F35"/>
    <mergeCell ref="D27:F27"/>
    <mergeCell ref="D36:F36"/>
    <mergeCell ref="D31:F31"/>
    <mergeCell ref="D32:F32"/>
    <mergeCell ref="D33:F33"/>
    <mergeCell ref="D29:F29"/>
    <mergeCell ref="D30:F30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2024-06-14T17:28:20Z</cp:lastPrinted>
  <dcterms:created xsi:type="dcterms:W3CDTF">2022-10-19T19:05:00Z</dcterms:created>
  <dcterms:modified xsi:type="dcterms:W3CDTF">2024-06-14T17:28:29Z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