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CFD9EEA7-43F2-40EC-BB22-E881EF02C869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2" i="1"/>
  <c r="G18" i="1"/>
  <c r="H18" i="1" s="1"/>
  <c r="H23" i="1"/>
  <c r="H21" i="1"/>
  <c r="H20" i="1"/>
  <c r="H17" i="1"/>
  <c r="H32" i="1" l="1"/>
  <c r="H33" i="1" s="1"/>
  <c r="H34" i="1" s="1"/>
</calcChain>
</file>

<file path=xl/sharedStrings.xml><?xml version="1.0" encoding="utf-8"?>
<sst xmlns="http://schemas.openxmlformats.org/spreadsheetml/2006/main" count="28" uniqueCount="27">
  <si>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</si>
  <si>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</si>
  <si>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</si>
  <si>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</si>
  <si>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</si>
  <si>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</si>
  <si>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</si>
  <si>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</si>
  <si>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</si>
  <si>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</si>
  <si>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</si>
  <si>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</si>
  <si>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</si>
  <si>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</si>
  <si>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</si>
  <si>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</si>
  <si>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</si>
  <si>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2025-081</t>
  </si>
  <si>
    <t>22 de Marzo 2025</t>
  </si>
  <si>
    <t>Audio y Microfonia profesional</t>
  </si>
  <si>
    <t>Pantalla Led  3x6</t>
  </si>
  <si>
    <t>Luces Par  Led</t>
  </si>
  <si>
    <t>Luces Roboticas</t>
  </si>
  <si>
    <t>Streaming para Facebook</t>
  </si>
  <si>
    <t>Tarima 3x6 a 1 metrro</t>
  </si>
  <si>
    <t xml:space="preserve">Tegucigalpa / Colegio Medico </t>
  </si>
  <si>
    <t xml:space="preserve">No definido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</si>
</sst>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  <xf numFmtId="44" fontId="5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0" fillId="3" borderId="3" xfId="2" applyNumberFormat="1" applyFont="1" applyBorder="1" applyAlignment="1"/>
    <xf numFmtId="164" fontId="5" fillId="3" borderId="3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44" fontId="5" fillId="3" borderId="3" xfId="3" applyFill="1" applyBorder="1" applyAlignment="1">
      <alignment vertical="center"/>
    </xf>
    <xf numFmtId="0" fontId="1" fillId="3" borderId="5" xfId="2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37</xdr:row>
      <xdr:rowOff>83925</xdr:rowOff>
    </xdr:from>
    <xdr:to>
      <xdr:col>1</xdr:col>
      <xdr:colOff>113617</xdr:colOff>
      <xdr:row>39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920561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31</xdr:row>
      <xdr:rowOff>125768</xdr:rowOff>
    </xdr:from>
    <xdr:to>
      <xdr:col>7</xdr:col>
      <xdr:colOff>1050524</xdr:colOff>
      <xdr:row>41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40</xdr:row>
      <xdr:rowOff>601411</xdr:rowOff>
    </xdr:from>
    <xdr:to>
      <xdr:col>4</xdr:col>
      <xdr:colOff>168596</xdr:colOff>
      <xdr:row>42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40</xdr:row>
      <xdr:rowOff>612567</xdr:rowOff>
    </xdr:from>
    <xdr:to>
      <xdr:col>7</xdr:col>
      <xdr:colOff>991200</xdr:colOff>
      <xdr:row>44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37</xdr:row>
      <xdr:rowOff>149553</xdr:rowOff>
    </xdr:from>
    <xdr:to>
      <xdr:col>4</xdr:col>
      <xdr:colOff>628779</xdr:colOff>
      <xdr:row>44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0"/>
  <sheetViews>
    <sheetView tabSelected="1" view="pageLayout" zoomScale="107" zoomScaleNormal="100" zoomScaleSheetLayoutView="112" zoomScalePageLayoutView="107" workbookViewId="0">
      <selection activeCell="D12" sqref="D12:E1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9" t="s">
        <v>12</v>
      </c>
      <c r="I6" s="1"/>
    </row>
    <row r="7" spans="2:9">
      <c r="H7" s="29" t="s">
        <v>17</v>
      </c>
    </row>
    <row r="12" spans="2:9" ht="12.6" customHeight="1">
      <c r="B12" s="23" t="s">
        <v>14</v>
      </c>
      <c r="C12" s="23"/>
      <c r="D12" s="30"/>
      <c r="E12" s="24"/>
      <c r="F12" t="s">
        <v>11</v>
      </c>
      <c r="G12" s="26" t="s">
        <v>15</v>
      </c>
      <c r="H12" s="26"/>
    </row>
    <row r="13" spans="2:9" ht="14.4" customHeight="1">
      <c r="B13" s="23" t="s">
        <v>0</v>
      </c>
      <c r="C13" s="23"/>
      <c r="D13" s="30" t="s">
        <v>25</v>
      </c>
      <c r="E13" s="24"/>
      <c r="F13" s="24"/>
      <c r="G13" s="24"/>
    </row>
    <row r="14" spans="2:9">
      <c r="B14" s="1" t="s">
        <v>1</v>
      </c>
      <c r="C14" s="1" t="s">
        <v>2</v>
      </c>
      <c r="D14" s="25" t="s">
        <v>3</v>
      </c>
      <c r="E14" s="25"/>
      <c r="F14" s="25" t="s">
        <v>10</v>
      </c>
      <c r="G14" s="25"/>
      <c r="H14" s="1" t="s">
        <v>13</v>
      </c>
    </row>
    <row r="15" spans="2:9">
      <c r="B15" s="2">
        <v>45712</v>
      </c>
      <c r="C15" s="1"/>
      <c r="D15" s="31" t="s">
        <v>18</v>
      </c>
      <c r="E15" s="27"/>
      <c r="F15" s="34" t="s">
        <v>26</v>
      </c>
      <c r="G15" s="26"/>
      <c r="H15" s="8">
        <v>200</v>
      </c>
    </row>
    <row r="16" spans="2:9" ht="15.6">
      <c r="B16" s="3" t="s">
        <v>4</v>
      </c>
      <c r="C16" s="3" t="s">
        <v>8</v>
      </c>
      <c r="D16" s="28" t="s">
        <v>5</v>
      </c>
      <c r="E16" s="28"/>
      <c r="F16" s="28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6" t="s">
        <v>19</v>
      </c>
      <c r="E17" s="17"/>
      <c r="F17" s="17"/>
      <c r="G17" s="15">
        <v>8500</v>
      </c>
      <c r="H17" s="6">
        <f t="shared" ref="H17:H23" si="0">B17*C17*G17</f>
        <v>8500</v>
      </c>
    </row>
    <row r="18" spans="2:8">
      <c r="B18" s="4">
        <v>1</v>
      </c>
      <c r="C18" s="7">
        <v>1</v>
      </c>
      <c r="D18" s="16" t="s">
        <v>20</v>
      </c>
      <c r="E18" s="17"/>
      <c r="F18" s="17"/>
      <c r="G18" s="10">
        <f>72*500</f>
        <v>36000</v>
      </c>
      <c r="H18" s="6">
        <f t="shared" si="0"/>
        <v>36000</v>
      </c>
    </row>
    <row r="19" spans="2:8">
      <c r="B19" s="4">
        <v>1</v>
      </c>
      <c r="C19" s="7">
        <v>1</v>
      </c>
      <c r="D19" s="33" t="s">
        <v>24</v>
      </c>
      <c r="E19" s="19"/>
      <c r="F19" s="20"/>
      <c r="G19" s="10">
        <v>8000</v>
      </c>
      <c r="H19" s="6">
        <f t="shared" si="0"/>
        <v>8000</v>
      </c>
    </row>
    <row r="20" spans="2:8">
      <c r="B20" s="4">
        <v>12</v>
      </c>
      <c r="C20" s="7">
        <v>1</v>
      </c>
      <c r="D20" s="16" t="s">
        <v>21</v>
      </c>
      <c r="E20" s="17"/>
      <c r="F20" s="17"/>
      <c r="G20" s="14">
        <v>350</v>
      </c>
      <c r="H20" s="6">
        <f t="shared" si="0"/>
        <v>4200</v>
      </c>
    </row>
    <row r="21" spans="2:8">
      <c r="B21" s="4">
        <v>4</v>
      </c>
      <c r="C21" s="7">
        <v>1</v>
      </c>
      <c r="D21" s="16" t="s">
        <v>22</v>
      </c>
      <c r="E21" s="17"/>
      <c r="F21" s="17"/>
      <c r="G21" s="10">
        <v>1500</v>
      </c>
      <c r="H21" s="32">
        <f t="shared" si="0"/>
        <v>6000</v>
      </c>
    </row>
    <row r="22" spans="2:8">
      <c r="B22" s="7">
        <v>1</v>
      </c>
      <c r="C22" s="7">
        <v>1</v>
      </c>
      <c r="D22" s="16" t="s">
        <v>23</v>
      </c>
      <c r="E22" s="17"/>
      <c r="F22" s="17"/>
      <c r="G22" s="10">
        <v>9000</v>
      </c>
      <c r="H22" s="32">
        <f>B22*C22*G22</f>
        <v>9000</v>
      </c>
    </row>
    <row r="23" spans="2:8">
      <c r="B23" s="4"/>
      <c r="C23" s="7"/>
      <c r="D23" s="16"/>
      <c r="E23" s="17"/>
      <c r="F23" s="17"/>
      <c r="G23" s="10"/>
      <c r="H23" s="6">
        <f t="shared" si="0"/>
        <v>0</v>
      </c>
    </row>
    <row r="24" spans="2:8">
      <c r="B24" s="4"/>
      <c r="C24" s="7"/>
      <c r="D24" s="18"/>
      <c r="E24" s="19"/>
      <c r="F24" s="20"/>
      <c r="G24" s="10"/>
      <c r="H24" s="6"/>
    </row>
    <row r="25" spans="2:8">
      <c r="B25" s="4"/>
      <c r="C25" s="7"/>
      <c r="D25" s="18"/>
      <c r="E25" s="19"/>
      <c r="F25" s="20"/>
      <c r="G25" s="10"/>
      <c r="H25" s="6"/>
    </row>
    <row r="26" spans="2:8">
      <c r="B26" s="4"/>
      <c r="C26" s="7"/>
      <c r="D26" s="18"/>
      <c r="E26" s="19"/>
      <c r="F26" s="20"/>
      <c r="G26" s="10"/>
      <c r="H26" s="6"/>
    </row>
    <row r="27" spans="2:8">
      <c r="B27" s="4"/>
      <c r="C27" s="7"/>
      <c r="D27" s="18"/>
      <c r="E27" s="19"/>
      <c r="F27" s="20"/>
      <c r="G27" s="10"/>
      <c r="H27" s="6"/>
    </row>
    <row r="28" spans="2:8">
      <c r="B28" s="4"/>
      <c r="C28" s="7"/>
      <c r="D28" s="18"/>
      <c r="E28" s="19"/>
      <c r="F28" s="20"/>
      <c r="G28" s="10"/>
      <c r="H28" s="6"/>
    </row>
    <row r="29" spans="2:8">
      <c r="B29" s="4"/>
      <c r="C29" s="7"/>
      <c r="D29" s="18"/>
      <c r="E29" s="19"/>
      <c r="F29" s="20"/>
      <c r="G29" s="10"/>
      <c r="H29" s="6"/>
    </row>
    <row r="30" spans="2:8">
      <c r="B30" s="4"/>
      <c r="C30" s="7"/>
      <c r="D30" s="18"/>
      <c r="E30" s="19"/>
      <c r="F30" s="20"/>
      <c r="G30" s="10"/>
      <c r="H30" s="6"/>
    </row>
    <row r="31" spans="2:8">
      <c r="B31" s="4"/>
      <c r="C31" s="7"/>
      <c r="D31" s="18"/>
      <c r="E31" s="19"/>
      <c r="F31" s="20"/>
      <c r="G31" s="10"/>
      <c r="H31" s="6"/>
    </row>
    <row r="32" spans="2:8">
      <c r="D32" s="21"/>
      <c r="E32" s="21"/>
      <c r="F32" s="21"/>
      <c r="G32" s="11" t="s">
        <v>9</v>
      </c>
      <c r="H32" s="12">
        <f>SUM(H17:H31)</f>
        <v>71700</v>
      </c>
    </row>
    <row r="33" spans="2:8">
      <c r="G33" s="11" t="s">
        <v>16</v>
      </c>
      <c r="H33" s="13">
        <f>H32*0.15</f>
        <v>10755</v>
      </c>
    </row>
    <row r="34" spans="2:8">
      <c r="G34" s="11" t="s">
        <v>9</v>
      </c>
      <c r="H34" s="13">
        <f>H33+H32</f>
        <v>82455</v>
      </c>
    </row>
    <row r="41" spans="2:8" ht="62.4" customHeight="1"/>
    <row r="43" spans="2:8" ht="27.6" customHeight="1"/>
    <row r="44" spans="2:8" ht="5.4" customHeight="1">
      <c r="B44" s="5"/>
      <c r="C44" s="5"/>
      <c r="D44" s="5"/>
      <c r="E44" s="5"/>
      <c r="F44" s="5"/>
      <c r="G44" s="5"/>
      <c r="H44" s="5"/>
    </row>
    <row r="46" spans="2:8" ht="25.2" customHeight="1"/>
    <row r="53" ht="21" customHeight="1"/>
    <row r="55" ht="1.95" customHeight="1"/>
    <row r="56" ht="7.95" customHeight="1"/>
    <row r="57" ht="16.05" customHeight="1"/>
    <row r="59" ht="6" customHeight="1"/>
    <row r="60" ht="9.75" customHeight="1"/>
  </sheetData>
  <mergeCells count="27">
    <mergeCell ref="D19:F19"/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0:F20"/>
    <mergeCell ref="D31:F31"/>
    <mergeCell ref="D32:F32"/>
    <mergeCell ref="D24:F24"/>
    <mergeCell ref="D23:F23"/>
    <mergeCell ref="D21:F21"/>
    <mergeCell ref="D22:F22"/>
    <mergeCell ref="D30:F30"/>
    <mergeCell ref="D25:F25"/>
    <mergeCell ref="D27:F27"/>
    <mergeCell ref="D26:F26"/>
    <mergeCell ref="D29:F29"/>
    <mergeCell ref="D28:F28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2025-02-20T17:44:45Z</cp:lastPrinted>
  <dcterms:created xsi:type="dcterms:W3CDTF">2022-10-19T19:05:00Z</dcterms:created>
  <dcterms:modified xsi:type="dcterms:W3CDTF">2025-02-24T21:53:47Z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