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9F62E129-5EF0-49BD-B64F-8AAD2245B4AE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/>
  <c r="H26" i="1"/>
  <c r="H17" i="1"/>
  <c r="H18" i="1"/>
  <c r="H19" i="1"/>
  <c r="H20" i="1"/>
  <c r="H21" i="1"/>
  <c r="H22" i="1"/>
  <c r="H23" i="1"/>
  <c r="H27" i="1"/>
  <c r="H28" i="1"/>
  <c r="H29" i="1"/>
  <c r="H30" i="1" l="1"/>
  <c r="H31" i="1" s="1"/>
  <c r="H32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<sst xmlns="http://schemas.openxmlformats.org/spreadsheetml/2006/main" count="29" uniqueCount="28">
  <si>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</si>
  <si>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</si>
  <si>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</si>
  <si>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</si>
  <si>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</si>
  <si>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</si>
  <si>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</si>
  <si>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</si>
  <si>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</si>
  <si>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</si>
  <si>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</si>
  <si>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</si>
  <si>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</si>
  <si>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</si>
  <si>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</si>
  <si>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</si>
  <si>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</si>
  <si>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Parlantes de barra tipo corporativo </t>
  </si>
  <si>
    <t xml:space="preserve">Consola de audio 10 canales </t>
  </si>
  <si>
    <t xml:space="preserve">Microfonos Inalambricos </t>
  </si>
  <si>
    <t xml:space="preserve">Personal tecnico </t>
  </si>
  <si>
    <t xml:space="preserve">transporte </t>
  </si>
  <si>
    <t>140 aprox</t>
  </si>
  <si>
    <t xml:space="preserve">Evento </t>
  </si>
  <si>
    <t xml:space="preserve">5 horas </t>
  </si>
  <si>
    <t>Inversiones Cela</t>
  </si>
  <si>
    <t>2024-3090</t>
  </si>
  <si>
    <t xml:space="preserve">Valle de Angeles / Tegucigalpa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</si>
</sst>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6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0" fillId="3" borderId="3" xfId="2" applyNumberFormat="1" applyFont="1" applyBorder="1" applyAlignment="1"/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550243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125768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38</xdr:row>
      <xdr:rowOff>266700</xdr:rowOff>
    </xdr:from>
    <xdr:to>
      <xdr:col>4</xdr:col>
      <xdr:colOff>118745</xdr:colOff>
      <xdr:row>43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38</xdr:row>
      <xdr:rowOff>292100</xdr:rowOff>
    </xdr:from>
    <xdr:to>
      <xdr:col>7</xdr:col>
      <xdr:colOff>827405</xdr:colOff>
      <xdr:row>40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topLeftCell="A6" zoomScale="107" zoomScaleNormal="100" zoomScaleSheetLayoutView="112" zoomScalePageLayoutView="107" workbookViewId="0">
      <selection activeCell="D13" sqref="D13:G1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9" t="s">
        <v>12</v>
      </c>
      <c r="I6" s="1"/>
    </row>
    <row r="7" spans="2:9">
      <c r="H7" s="31" t="s">
        <v>26</v>
      </c>
    </row>
    <row r="12" spans="2:9" ht="12.6" customHeight="1">
      <c r="B12" s="22" t="s">
        <v>14</v>
      </c>
      <c r="C12" s="22"/>
      <c r="D12" s="30" t="s">
        <v>25</v>
      </c>
      <c r="E12" s="23"/>
      <c r="F12" t="s">
        <v>11</v>
      </c>
      <c r="G12" s="18" t="s">
        <v>15</v>
      </c>
      <c r="H12" s="18"/>
    </row>
    <row r="13" spans="2:9" ht="14.4" customHeight="1">
      <c r="B13" s="22" t="s">
        <v>0</v>
      </c>
      <c r="C13" s="22"/>
      <c r="D13" s="30" t="s">
        <v>27</v>
      </c>
      <c r="E13" s="23"/>
      <c r="F13" s="23"/>
      <c r="G13" s="23"/>
    </row>
    <row r="14" spans="2:9">
      <c r="B14" s="1" t="s">
        <v>1</v>
      </c>
      <c r="C14" s="1" t="s">
        <v>2</v>
      </c>
      <c r="D14" s="24" t="s">
        <v>3</v>
      </c>
      <c r="E14" s="24"/>
      <c r="F14" s="24" t="s">
        <v>10</v>
      </c>
      <c r="G14" s="24"/>
      <c r="H14" s="1" t="s">
        <v>13</v>
      </c>
    </row>
    <row r="15" spans="2:9">
      <c r="B15" s="2">
        <v>45619</v>
      </c>
      <c r="C15" s="1" t="s">
        <v>24</v>
      </c>
      <c r="D15" s="15">
        <v>45632</v>
      </c>
      <c r="E15" s="16"/>
      <c r="F15" s="29" t="s">
        <v>23</v>
      </c>
      <c r="G15" s="18"/>
      <c r="H15" s="8" t="s">
        <v>22</v>
      </c>
    </row>
    <row r="16" spans="2:9" ht="15.6">
      <c r="B16" s="3" t="s">
        <v>4</v>
      </c>
      <c r="C16" s="3" t="s">
        <v>8</v>
      </c>
      <c r="D16" s="17" t="s">
        <v>5</v>
      </c>
      <c r="E16" s="17"/>
      <c r="F16" s="17"/>
      <c r="G16" s="3" t="s">
        <v>6</v>
      </c>
      <c r="H16" s="3" t="s">
        <v>7</v>
      </c>
    </row>
    <row r="17" spans="2:8">
      <c r="B17" s="4">
        <v>2</v>
      </c>
      <c r="C17" s="7">
        <v>1</v>
      </c>
      <c r="D17" s="19" t="s">
        <v>17</v>
      </c>
      <c r="E17" s="20"/>
      <c r="F17" s="20"/>
      <c r="G17" s="10">
        <v>1500</v>
      </c>
      <c r="H17" s="6">
        <f t="shared" ref="H17:H27" si="0">G17*B17*C17</f>
        <v>3000</v>
      </c>
    </row>
    <row r="18" spans="2:8">
      <c r="B18" s="4">
        <v>1</v>
      </c>
      <c r="C18" s="7">
        <v>1</v>
      </c>
      <c r="D18" s="19" t="s">
        <v>18</v>
      </c>
      <c r="E18" s="20"/>
      <c r="F18" s="20"/>
      <c r="G18" s="14">
        <v>500</v>
      </c>
      <c r="H18" s="6">
        <f t="shared" si="0"/>
        <v>500</v>
      </c>
    </row>
    <row r="19" spans="2:8">
      <c r="B19" s="4">
        <v>2</v>
      </c>
      <c r="C19" s="7">
        <v>1</v>
      </c>
      <c r="D19" s="19" t="s">
        <v>19</v>
      </c>
      <c r="E19" s="20"/>
      <c r="F19" s="20"/>
      <c r="G19" s="10">
        <v>350</v>
      </c>
      <c r="H19" s="6">
        <f t="shared" si="0"/>
        <v>700</v>
      </c>
    </row>
    <row r="20" spans="2:8">
      <c r="B20" s="4">
        <v>2</v>
      </c>
      <c r="C20" s="7">
        <v>1</v>
      </c>
      <c r="D20" s="19" t="s">
        <v>20</v>
      </c>
      <c r="E20" s="20"/>
      <c r="F20" s="20"/>
      <c r="G20" s="10">
        <v>700</v>
      </c>
      <c r="H20" s="6">
        <f t="shared" si="0"/>
        <v>1400</v>
      </c>
    </row>
    <row r="21" spans="2:8">
      <c r="B21" s="4">
        <v>1</v>
      </c>
      <c r="C21" s="7">
        <v>1</v>
      </c>
      <c r="D21" s="19" t="s">
        <v>21</v>
      </c>
      <c r="E21" s="20"/>
      <c r="F21" s="20"/>
      <c r="G21" s="10">
        <v>800</v>
      </c>
      <c r="H21" s="6">
        <f t="shared" si="0"/>
        <v>800</v>
      </c>
    </row>
    <row r="22" spans="2:8">
      <c r="B22" s="4"/>
      <c r="C22" s="7"/>
      <c r="D22" s="25"/>
      <c r="E22" s="26"/>
      <c r="F22" s="27"/>
      <c r="G22" s="10"/>
      <c r="H22" s="6">
        <f t="shared" si="0"/>
        <v>0</v>
      </c>
    </row>
    <row r="23" spans="2:8">
      <c r="B23" s="4"/>
      <c r="C23" s="7"/>
      <c r="D23" s="25"/>
      <c r="E23" s="26"/>
      <c r="F23" s="27"/>
      <c r="G23" s="10"/>
      <c r="H23" s="6">
        <f t="shared" si="0"/>
        <v>0</v>
      </c>
    </row>
    <row r="24" spans="2:8">
      <c r="B24" s="4"/>
      <c r="C24" s="7"/>
      <c r="D24" s="25"/>
      <c r="E24" s="26"/>
      <c r="F24" s="27"/>
      <c r="G24" s="10"/>
      <c r="H24" s="6">
        <f t="shared" si="0"/>
        <v>0</v>
      </c>
    </row>
    <row r="25" spans="2:8">
      <c r="B25" s="4"/>
      <c r="C25" s="7"/>
      <c r="D25" s="25"/>
      <c r="E25" s="26"/>
      <c r="F25" s="27"/>
      <c r="G25" s="10"/>
      <c r="H25" s="6">
        <f t="shared" si="0"/>
        <v>0</v>
      </c>
    </row>
    <row r="26" spans="2:8">
      <c r="B26" s="4"/>
      <c r="C26" s="7"/>
      <c r="D26" s="25"/>
      <c r="E26" s="26"/>
      <c r="F26" s="27"/>
      <c r="G26" s="10"/>
      <c r="H26" s="6">
        <f t="shared" si="0"/>
        <v>0</v>
      </c>
    </row>
    <row r="27" spans="2:8">
      <c r="B27" s="4"/>
      <c r="C27" s="7"/>
      <c r="D27" s="25"/>
      <c r="E27" s="26"/>
      <c r="F27" s="27"/>
      <c r="G27" s="10"/>
      <c r="H27" s="6">
        <f t="shared" si="0"/>
        <v>0</v>
      </c>
    </row>
    <row r="28" spans="2:8">
      <c r="B28" s="4"/>
      <c r="C28" s="7"/>
      <c r="D28" s="25"/>
      <c r="E28" s="26"/>
      <c r="F28" s="27"/>
      <c r="G28" s="10"/>
      <c r="H28" s="6">
        <f t="shared" ref="H28:H29" si="1">G28*B28*C28</f>
        <v>0</v>
      </c>
    </row>
    <row r="29" spans="2:8">
      <c r="B29" s="4"/>
      <c r="C29" s="7"/>
      <c r="D29" s="25"/>
      <c r="E29" s="26"/>
      <c r="F29" s="27"/>
      <c r="G29" s="10"/>
      <c r="H29" s="6">
        <f t="shared" si="1"/>
        <v>0</v>
      </c>
    </row>
    <row r="30" spans="2:8">
      <c r="D30" s="28"/>
      <c r="E30" s="28"/>
      <c r="F30" s="28"/>
      <c r="G30" s="11" t="s">
        <v>9</v>
      </c>
      <c r="H30" s="12">
        <f>SUM(H17:H29)</f>
        <v>6400</v>
      </c>
    </row>
    <row r="31" spans="2:8">
      <c r="G31" s="11" t="s">
        <v>16</v>
      </c>
      <c r="H31" s="13">
        <f>H30*0.15</f>
        <v>960</v>
      </c>
    </row>
    <row r="32" spans="2:8">
      <c r="G32" s="11" t="s">
        <v>9</v>
      </c>
      <c r="H32" s="13">
        <f>H31+H30</f>
        <v>7360</v>
      </c>
    </row>
    <row r="39" spans="2:8" ht="31.2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5">
    <mergeCell ref="D18:F18"/>
    <mergeCell ref="D29:F29"/>
    <mergeCell ref="D30:F30"/>
    <mergeCell ref="D22:F22"/>
    <mergeCell ref="D21:F21"/>
    <mergeCell ref="D19:F19"/>
    <mergeCell ref="D20:F20"/>
    <mergeCell ref="D28:F28"/>
    <mergeCell ref="D23:F23"/>
    <mergeCell ref="D25:F25"/>
    <mergeCell ref="D24:F24"/>
    <mergeCell ref="D27:F27"/>
    <mergeCell ref="D26:F26"/>
    <mergeCell ref="D15:E15"/>
    <mergeCell ref="D16:F16"/>
    <mergeCell ref="F15:G15"/>
    <mergeCell ref="D17:F17"/>
    <mergeCell ref="B1:H1"/>
    <mergeCell ref="B12:C12"/>
    <mergeCell ref="B13:C13"/>
    <mergeCell ref="D13:G13"/>
    <mergeCell ref="D14:E14"/>
    <mergeCell ref="D12:E12"/>
    <mergeCell ref="G12:H12"/>
    <mergeCell ref="F14:G14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2024-11-21T22:17:45Z</cp:lastPrinted>
  <dcterms:created xsi:type="dcterms:W3CDTF">2022-10-19T19:05:00Z</dcterms:created>
  <dcterms:modified xsi:type="dcterms:W3CDTF">2024-11-23T18:21:04Z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