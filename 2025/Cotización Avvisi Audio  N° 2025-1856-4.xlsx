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C4E23D9-B6AB-4BE7-A3E4-AEF55F44B2E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<sst xmlns="http://schemas.openxmlformats.org/spreadsheetml/2006/main" count="36" uniqueCount="35">
  <si>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</si>
  <si>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</si>
  <si>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</si>
  <si>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</si>
  <si>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</si>
  <si>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</si>
  <si>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</si>
  <si>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</si>
  <si>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</si>
  <si>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</si>
  <si>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</si>
  <si>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</si>
  <si>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</si>
  <si>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</si>
  <si>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</si>
  <si>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</si>
  <si>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</si>
  <si>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</si>
  <si>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</si>
  <si>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</si>
  <si>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>Podio de acrilico con logo</t>
  </si>
  <si>
    <t>Microfono de mano shure SM58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</si>
  <si>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</si>
  <si>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</si>
  <si>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</si>
  <si>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</si>
  <si>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 xml:space="preserve">Pantalla 2.5 x 2 metros </t>
  </si>
  <si>
    <t xml:space="preserve">Tombola de acrilico </t>
  </si>
  <si>
    <t xml:space="preserve">Fotografo y circuito cerrado </t>
  </si>
  <si>
    <t xml:space="preserve">Tarima de 18 x 4 metros x 50 en negro </t>
  </si>
  <si>
    <t xml:space="preserve">San Pedro Sula </t>
  </si>
  <si>
    <t>2025-186</t>
  </si>
  <si>
    <t xml:space="preserve">12 de Agosto </t>
  </si>
  <si>
    <t>Evento de Marca</t>
  </si>
  <si>
    <t xml:space="preserve">Pantalla de 18 x 4 metros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</si>
</sst>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3" zoomScale="110" zoomScaleNormal="110" zoomScaleSheetLayoutView="112" zoomScalePageLayoutView="107" workbookViewId="0">
      <selection activeCell="D17" sqref="D17:F1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31</v>
      </c>
    </row>
    <row r="12" spans="2:9" ht="12.6" customHeight="1">
      <c r="B12" s="26" t="s">
        <v>14</v>
      </c>
      <c r="C12" s="26"/>
      <c r="D12" s="28" t="s">
        <v>18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30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45484</v>
      </c>
      <c r="C15" s="1" t="s">
        <v>19</v>
      </c>
      <c r="D15" s="34" t="s">
        <v>32</v>
      </c>
      <c r="E15" s="35"/>
      <c r="F15" s="37" t="s">
        <v>33</v>
      </c>
      <c r="G15" s="30"/>
      <c r="H15" s="7">
        <v>300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34</v>
      </c>
      <c r="E17" s="20"/>
      <c r="F17" s="20"/>
      <c r="G17" s="13">
        <v>144000</v>
      </c>
      <c r="H17" s="17">
        <f>B17*G17*C17</f>
        <v>144000</v>
      </c>
    </row>
    <row r="18" spans="2:8">
      <c r="B18" s="4">
        <v>1</v>
      </c>
      <c r="C18" s="6">
        <v>1</v>
      </c>
      <c r="D18" s="19" t="s">
        <v>20</v>
      </c>
      <c r="E18" s="20"/>
      <c r="F18" s="20"/>
      <c r="G18" s="15">
        <v>2500</v>
      </c>
      <c r="H18" s="17">
        <f t="shared" ref="H18:H29" si="0">B18*G18*C18</f>
        <v>2500</v>
      </c>
    </row>
    <row r="19" spans="2:8">
      <c r="B19" s="4">
        <v>1</v>
      </c>
      <c r="C19" s="6">
        <v>1</v>
      </c>
      <c r="D19" s="19" t="s">
        <v>25</v>
      </c>
      <c r="E19" s="20"/>
      <c r="F19" s="20"/>
      <c r="G19" s="14">
        <v>500</v>
      </c>
      <c r="H19" s="17">
        <f t="shared" si="0"/>
        <v>500</v>
      </c>
    </row>
    <row r="20" spans="2:8">
      <c r="B20" s="4">
        <v>2</v>
      </c>
      <c r="C20" s="6">
        <v>1</v>
      </c>
      <c r="D20" s="19" t="s">
        <v>21</v>
      </c>
      <c r="E20" s="20"/>
      <c r="F20" s="20"/>
      <c r="G20" s="14">
        <v>500</v>
      </c>
      <c r="H20" s="17">
        <f t="shared" si="0"/>
        <v>1000</v>
      </c>
    </row>
    <row r="21" spans="2:8">
      <c r="B21" s="6">
        <v>1</v>
      </c>
      <c r="C21" s="6">
        <v>1</v>
      </c>
      <c r="D21" s="19" t="s">
        <v>29</v>
      </c>
      <c r="E21" s="20"/>
      <c r="F21" s="20"/>
      <c r="G21" s="14">
        <v>14000</v>
      </c>
      <c r="H21" s="17">
        <f t="shared" si="0"/>
        <v>14000</v>
      </c>
    </row>
    <row r="22" spans="2:8">
      <c r="B22" s="4">
        <v>8</v>
      </c>
      <c r="C22" s="6">
        <v>1</v>
      </c>
      <c r="D22" s="21" t="s">
        <v>22</v>
      </c>
      <c r="E22" s="22"/>
      <c r="F22" s="23"/>
      <c r="G22" s="14">
        <v>350</v>
      </c>
      <c r="H22" s="17">
        <f t="shared" si="0"/>
        <v>2800</v>
      </c>
    </row>
    <row r="23" spans="2:8">
      <c r="B23" s="4">
        <v>1</v>
      </c>
      <c r="C23" s="6">
        <v>1</v>
      </c>
      <c r="D23" s="21" t="s">
        <v>23</v>
      </c>
      <c r="E23" s="22"/>
      <c r="F23" s="23"/>
      <c r="G23" s="14">
        <v>10300</v>
      </c>
      <c r="H23" s="17">
        <f t="shared" si="0"/>
        <v>10300</v>
      </c>
    </row>
    <row r="24" spans="2:8">
      <c r="B24" s="4">
        <v>1</v>
      </c>
      <c r="C24" s="6">
        <v>1</v>
      </c>
      <c r="D24" s="21" t="s">
        <v>24</v>
      </c>
      <c r="E24" s="22"/>
      <c r="F24" s="23"/>
      <c r="G24" s="14">
        <v>2500</v>
      </c>
      <c r="H24" s="17">
        <f t="shared" si="0"/>
        <v>2500</v>
      </c>
    </row>
    <row r="25" spans="2:8">
      <c r="B25" s="4">
        <v>7</v>
      </c>
      <c r="C25" s="6">
        <v>1</v>
      </c>
      <c r="D25" s="21" t="s">
        <v>26</v>
      </c>
      <c r="E25" s="22"/>
      <c r="F25" s="23"/>
      <c r="G25" s="9">
        <v>8000</v>
      </c>
      <c r="H25" s="17">
        <f t="shared" si="0"/>
        <v>56000</v>
      </c>
    </row>
    <row r="26" spans="2:8">
      <c r="B26" s="4">
        <v>1</v>
      </c>
      <c r="C26" s="6">
        <v>1</v>
      </c>
      <c r="D26" s="21" t="s">
        <v>27</v>
      </c>
      <c r="E26" s="22"/>
      <c r="F26" s="23"/>
      <c r="G26" s="9">
        <v>2500</v>
      </c>
      <c r="H26" s="17">
        <f t="shared" si="0"/>
        <v>2500</v>
      </c>
    </row>
    <row r="27" spans="2:8">
      <c r="B27" s="4">
        <v>1</v>
      </c>
      <c r="C27" s="6">
        <v>1</v>
      </c>
      <c r="D27" s="21" t="s">
        <v>28</v>
      </c>
      <c r="E27" s="22"/>
      <c r="F27" s="23"/>
      <c r="G27" s="9">
        <v>12000</v>
      </c>
      <c r="H27" s="17">
        <f t="shared" si="0"/>
        <v>12000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248100</v>
      </c>
    </row>
    <row r="31" spans="2:8">
      <c r="G31" s="10" t="s">
        <v>16</v>
      </c>
      <c r="H31" s="12">
        <f>H30*0.15</f>
        <v>37215</v>
      </c>
    </row>
    <row r="32" spans="2:8">
      <c r="G32" s="10" t="s">
        <v>9</v>
      </c>
      <c r="H32" s="12">
        <f>H31+H30</f>
        <v>285315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2025-08-10T16:31:19Z</cp:lastPrinted>
  <dcterms:created xsi:type="dcterms:W3CDTF">2022-10-19T19:05:00Z</dcterms:created>
  <dcterms:modified xsi:type="dcterms:W3CDTF">2025-08-15T17:21:45Z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