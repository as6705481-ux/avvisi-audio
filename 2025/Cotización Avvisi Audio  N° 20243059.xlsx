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571329CD-36B3-4335-9A2E-53FF6030FFE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H26" i="1"/>
  <c r="H23" i="1"/>
  <c r="H22" i="1"/>
  <c r="H21" i="1"/>
  <c r="H20" i="1"/>
  <c r="H18" i="1"/>
  <c r="H19" i="1"/>
  <c r="H17" i="1"/>
  <c r="H27" i="1" l="1"/>
</calcChain>
</file>

<file path=xl/sharedStrings.xml><?xml version="1.0" encoding="utf-8"?>
<sst xmlns="http://schemas.openxmlformats.org/spreadsheetml/2006/main" count="24" uniqueCount="24">
  <si>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</si>
  <si>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</si>
  <si>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</si>
  <si>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</si>
  <si>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</si>
  <si>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</si>
  <si>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</si>
  <si>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</si>
  <si>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</si>
  <si>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</si>
  <si>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</si>
  <si>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</si>
  <si>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</si>
  <si>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</si>
  <si>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</si>
  <si>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>Danilo Sosa</t>
  </si>
  <si>
    <t>Compra de martillo de goma 60 Q</t>
  </si>
  <si>
    <t>Camisas sublimadas con logo</t>
  </si>
  <si>
    <t xml:space="preserve">Pago de aduanas 252 Q </t>
  </si>
  <si>
    <t>2024-3059</t>
  </si>
  <si>
    <t xml:space="preserve">Cliente </t>
  </si>
  <si>
    <t>Agencia ADN</t>
  </si>
  <si>
    <t xml:space="preserve">Honduras </t>
  </si>
  <si>
    <t xml:space="preserve">Traslado de activos de marca a Guatemala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</si>
</sst>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164" fontId="6" fillId="2" borderId="3" xfId="2" applyNumberFormat="1" applyFont="1" applyFill="1" applyBorder="1"/>
    <xf numFmtId="0" fontId="0" fillId="2" borderId="0" xfId="0" applyFill="1" applyAlignment="1">
      <alignment horizontal="center"/>
    </xf>
    <xf numFmtId="164" fontId="8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17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8260" y="5994974"/>
          <a:ext cx="50716" cy="33578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325"/>
          <a:ext cx="6693251" cy="13334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103573</xdr:colOff>
      <xdr:row>26</xdr:row>
      <xdr:rowOff>162756</xdr:rowOff>
    </xdr:from>
    <xdr:to>
      <xdr:col>7</xdr:col>
      <xdr:colOff>1080117</xdr:colOff>
      <xdr:row>35</xdr:row>
      <xdr:rowOff>73584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03573" y="4964096"/>
          <a:ext cx="6702641" cy="1575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35</xdr:row>
      <xdr:rowOff>38100</xdr:rowOff>
    </xdr:from>
    <xdr:to>
      <xdr:col>4</xdr:col>
      <xdr:colOff>131445</xdr:colOff>
      <xdr:row>40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35</xdr:row>
      <xdr:rowOff>76200</xdr:rowOff>
    </xdr:from>
    <xdr:to>
      <xdr:col>7</xdr:col>
      <xdr:colOff>852805</xdr:colOff>
      <xdr:row>41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6" zoomScale="103" zoomScaleNormal="100" zoomScaleSheetLayoutView="112" zoomScalePageLayoutView="103" workbookViewId="0">
      <selection activeCell="G20" sqref="G2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0"/>
      <c r="C1" s="20"/>
      <c r="D1" s="20"/>
      <c r="E1" s="20"/>
      <c r="F1" s="20"/>
      <c r="G1" s="20"/>
      <c r="H1" s="20"/>
    </row>
    <row r="6" spans="2:9">
      <c r="H6" s="11" t="s">
        <v>12</v>
      </c>
      <c r="I6" s="1"/>
    </row>
    <row r="7" spans="2:9">
      <c r="H7" s="27" t="s">
        <v>19</v>
      </c>
    </row>
    <row r="12" spans="2:9" ht="12.6" customHeight="1">
      <c r="B12" s="21" t="s">
        <v>20</v>
      </c>
      <c r="C12" s="21"/>
      <c r="D12" s="28" t="s">
        <v>21</v>
      </c>
      <c r="E12" s="22"/>
      <c r="F12" t="s">
        <v>11</v>
      </c>
      <c r="G12" s="19" t="s">
        <v>15</v>
      </c>
      <c r="H12" s="19"/>
    </row>
    <row r="13" spans="2:9" ht="14.4" customHeight="1">
      <c r="B13" s="21" t="s">
        <v>0</v>
      </c>
      <c r="C13" s="21"/>
      <c r="D13" s="28" t="s">
        <v>22</v>
      </c>
      <c r="E13" s="22"/>
      <c r="F13" s="22"/>
      <c r="G13" s="22"/>
    </row>
    <row r="14" spans="2:9">
      <c r="B14" s="1" t="s">
        <v>1</v>
      </c>
      <c r="C14" s="1" t="s">
        <v>2</v>
      </c>
      <c r="D14" s="14" t="s">
        <v>3</v>
      </c>
      <c r="E14" s="14"/>
      <c r="F14" s="14" t="s">
        <v>10</v>
      </c>
      <c r="G14" s="14"/>
      <c r="H14" s="1" t="s">
        <v>13</v>
      </c>
    </row>
    <row r="15" spans="2:9">
      <c r="B15" s="2">
        <v>45554</v>
      </c>
      <c r="C15" s="1"/>
      <c r="D15" s="13"/>
      <c r="E15" s="14"/>
      <c r="F15" s="18" t="s">
        <v>14</v>
      </c>
      <c r="G15" s="19"/>
      <c r="H15" s="10"/>
    </row>
    <row r="16" spans="2:9" ht="15.6">
      <c r="B16" s="3" t="s">
        <v>4</v>
      </c>
      <c r="C16" s="3" t="s">
        <v>8</v>
      </c>
      <c r="D16" s="15" t="s">
        <v>5</v>
      </c>
      <c r="E16" s="15"/>
      <c r="F16" s="15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6" t="s">
        <v>18</v>
      </c>
      <c r="E17" s="17"/>
      <c r="F17" s="17"/>
      <c r="G17" s="12">
        <v>809</v>
      </c>
      <c r="H17" s="7">
        <f>G17*B17*C17</f>
        <v>809</v>
      </c>
    </row>
    <row r="18" spans="2:8">
      <c r="B18" s="4">
        <v>1</v>
      </c>
      <c r="C18" s="8">
        <v>1</v>
      </c>
      <c r="D18" s="16" t="s">
        <v>16</v>
      </c>
      <c r="E18" s="17"/>
      <c r="F18" s="17"/>
      <c r="G18" s="12">
        <v>192</v>
      </c>
      <c r="H18" s="7">
        <f t="shared" ref="H18:H19" si="0">G18*B18*C18</f>
        <v>192</v>
      </c>
    </row>
    <row r="19" spans="2:8">
      <c r="B19" s="4">
        <v>4</v>
      </c>
      <c r="C19" s="8">
        <v>1</v>
      </c>
      <c r="D19" s="16" t="s">
        <v>17</v>
      </c>
      <c r="E19" s="17"/>
      <c r="F19" s="17"/>
      <c r="G19" s="12">
        <v>250</v>
      </c>
      <c r="H19" s="7">
        <f t="shared" si="0"/>
        <v>1000</v>
      </c>
    </row>
    <row r="20" spans="2:8">
      <c r="B20" s="4">
        <v>1</v>
      </c>
      <c r="C20" s="8">
        <v>1</v>
      </c>
      <c r="D20" s="16" t="s">
        <v>23</v>
      </c>
      <c r="E20" s="17"/>
      <c r="F20" s="17"/>
      <c r="G20" s="12">
        <v>9937</v>
      </c>
      <c r="H20" s="7">
        <f t="shared" ref="H20:H26" si="1">G20*B20*C20</f>
        <v>9937</v>
      </c>
    </row>
    <row r="21" spans="2:8">
      <c r="B21" s="4"/>
      <c r="C21" s="8"/>
      <c r="D21" s="23"/>
      <c r="E21" s="24"/>
      <c r="F21" s="25"/>
      <c r="G21" s="12"/>
      <c r="H21" s="7">
        <f t="shared" si="1"/>
        <v>0</v>
      </c>
    </row>
    <row r="22" spans="2:8">
      <c r="B22" s="4"/>
      <c r="C22" s="8"/>
      <c r="D22" s="23"/>
      <c r="E22" s="24"/>
      <c r="F22" s="25"/>
      <c r="G22" s="12"/>
      <c r="H22" s="7">
        <f t="shared" si="1"/>
        <v>0</v>
      </c>
    </row>
    <row r="23" spans="2:8">
      <c r="B23" s="4"/>
      <c r="C23" s="8"/>
      <c r="D23" s="23"/>
      <c r="E23" s="24"/>
      <c r="F23" s="25"/>
      <c r="G23" s="12"/>
      <c r="H23" s="7">
        <f t="shared" si="1"/>
        <v>0</v>
      </c>
    </row>
    <row r="24" spans="2:8">
      <c r="B24" s="4"/>
      <c r="C24" s="8"/>
      <c r="D24" s="23"/>
      <c r="E24" s="24"/>
      <c r="F24" s="25"/>
      <c r="G24" s="12"/>
      <c r="H24" s="7">
        <f t="shared" si="1"/>
        <v>0</v>
      </c>
    </row>
    <row r="25" spans="2:8">
      <c r="B25" s="4"/>
      <c r="C25" s="8"/>
      <c r="D25" s="23"/>
      <c r="E25" s="24"/>
      <c r="F25" s="25"/>
      <c r="G25" s="12"/>
      <c r="H25" s="7">
        <f t="shared" si="1"/>
        <v>0</v>
      </c>
    </row>
    <row r="26" spans="2:8">
      <c r="B26" s="4"/>
      <c r="C26" s="8"/>
      <c r="D26" s="23"/>
      <c r="E26" s="24"/>
      <c r="F26" s="25"/>
      <c r="G26" s="12"/>
      <c r="H26" s="7">
        <f t="shared" si="1"/>
        <v>0</v>
      </c>
    </row>
    <row r="27" spans="2:8">
      <c r="D27" s="26"/>
      <c r="E27" s="26"/>
      <c r="F27" s="26"/>
      <c r="G27" s="9" t="s">
        <v>9</v>
      </c>
      <c r="H27" s="5">
        <f>SUM(H17:H26)</f>
        <v>11938</v>
      </c>
    </row>
    <row r="38" spans="2:8" ht="27.6" customHeight="1"/>
    <row r="39" spans="2:8" ht="5.4" customHeight="1">
      <c r="B39" s="6"/>
      <c r="C39" s="6"/>
      <c r="D39" s="6"/>
      <c r="E39" s="6"/>
      <c r="F39" s="6"/>
      <c r="G39" s="6"/>
      <c r="H39" s="6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2024-09-17T22:49:40Z</cp:lastPrinted>
  <dcterms:created xsi:type="dcterms:W3CDTF">2022-10-19T19:05:00Z</dcterms:created>
  <dcterms:modified xsi:type="dcterms:W3CDTF">2024-09-19T15:33:46Z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