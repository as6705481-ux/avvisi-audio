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9B6CF41C-12E1-4BAE-9D59-F22FC5C7BD1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/>
  <c r="H31" i="1"/>
  <c r="H32" i="1"/>
  <c r="H17" i="1" l="1"/>
  <c r="H18" i="1"/>
  <c r="H19" i="1"/>
  <c r="H20" i="1"/>
  <c r="H21" i="1"/>
  <c r="H22" i="1"/>
  <c r="H23" i="1"/>
  <c r="H24" i="1"/>
  <c r="H25" i="1"/>
  <c r="H26" i="1"/>
  <c r="H27" i="1"/>
  <c r="H28" i="1"/>
  <c r="H33" i="1" l="1"/>
  <c r="H34" i="1" s="1"/>
  <c r="H35" i="1" s="1"/>
</calcChain>
</file>

<file path=xl/sharedStrings.xml><?xml version="1.0" encoding="utf-8"?>
<sst xmlns="http://schemas.openxmlformats.org/spreadsheetml/2006/main" count="40" uniqueCount="40">
  <si>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</si>
  <si>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</si>
  <si>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</si>
  <si>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</si>
  <si>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</si>
  <si>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</si>
  <si>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</si>
  <si>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</si>
  <si>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</si>
  <si>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</si>
  <si>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</si>
  <si>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</si>
  <si>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</si>
  <si>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</si>
  <si>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</si>
  <si>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</si>
  <si>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</si>
  <si>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</si>
  <si>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80 Personas </t>
  </si>
  <si>
    <t xml:space="preserve">LAPCO Honduras </t>
  </si>
  <si>
    <t xml:space="preserve">Tegucigalpa </t>
  </si>
  <si>
    <t xml:space="preserve">Lanzamiento </t>
  </si>
  <si>
    <t xml:space="preserve">Pantalla les 6 x 4 metros </t>
  </si>
  <si>
    <t xml:space="preserve">Pantallas laterales </t>
  </si>
  <si>
    <t xml:space="preserve">Podio de acrilico </t>
  </si>
  <si>
    <t xml:space="preserve">Microfono cuello de ganzo </t>
  </si>
  <si>
    <t>Microfonos Shure sm58</t>
  </si>
  <si>
    <t>Tarima de 4 x 3.75</t>
  </si>
  <si>
    <t>Iluminacion par led 54</t>
  </si>
  <si>
    <t>Bocinas dobles JBL PRX 825</t>
  </si>
  <si>
    <t xml:space="preserve">Sub wofers 18 pulgadas </t>
  </si>
  <si>
    <t>Consola digital M32</t>
  </si>
  <si>
    <t>Tecnicos y personal de staff</t>
  </si>
  <si>
    <t>Logistica , transporte punto A - B</t>
  </si>
  <si>
    <t xml:space="preserve">Pantallas de 55 pulgadas para stand </t>
  </si>
  <si>
    <t>Luces led para stand</t>
  </si>
  <si>
    <t xml:space="preserve">Fotografo para registrar el evento ( Fotografias ) </t>
  </si>
  <si>
    <t xml:space="preserve">Pirotecnias frias </t>
  </si>
  <si>
    <t>2024-3030</t>
  </si>
  <si>
    <t xml:space="preserve">28 de Agosto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</si>
</sst>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6" xfId="3" applyFont="1" applyBorder="1" applyAlignment="1">
      <alignment horizontal="left" vertical="center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17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1" fillId="3" borderId="6" xfId="3" applyFont="1" applyBorder="1" applyAlignment="1">
      <alignment horizontal="left"/>
    </xf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1" fillId="3" borderId="7" xfId="3" applyFont="1" applyBorder="1" applyAlignment="1">
      <alignment horizontal="left" vertical="center"/>
    </xf>
    <xf numFmtId="0" fontId="1" fillId="3" borderId="4" xfId="3" applyFont="1" applyBorder="1" applyAlignment="1">
      <alignment horizontal="left" vertical="center"/>
    </xf>
    <xf numFmtId="164" fontId="10" fillId="3" borderId="3" xfId="3" applyNumberFormat="1" applyFont="1" applyBorder="1"/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40</xdr:row>
      <xdr:rowOff>83925</xdr:rowOff>
    </xdr:from>
    <xdr:to>
      <xdr:col>1</xdr:col>
      <xdr:colOff>113617</xdr:colOff>
      <xdr:row>42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803" y="7354155"/>
          <a:ext cx="50716" cy="32814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505"/>
          <a:ext cx="6688400" cy="1306689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32</xdr:row>
      <xdr:rowOff>56444</xdr:rowOff>
    </xdr:from>
    <xdr:to>
      <xdr:col>7</xdr:col>
      <xdr:colOff>1127760</xdr:colOff>
      <xdr:row>43</xdr:row>
      <xdr:rowOff>2483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776148"/>
          <a:ext cx="6847464" cy="1912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43</xdr:row>
      <xdr:rowOff>38100</xdr:rowOff>
    </xdr:from>
    <xdr:to>
      <xdr:col>4</xdr:col>
      <xdr:colOff>131445</xdr:colOff>
      <xdr:row>48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43</xdr:row>
      <xdr:rowOff>76200</xdr:rowOff>
    </xdr:from>
    <xdr:to>
      <xdr:col>7</xdr:col>
      <xdr:colOff>852805</xdr:colOff>
      <xdr:row>49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5"/>
  <sheetViews>
    <sheetView tabSelected="1" view="pageLayout" topLeftCell="A16" zoomScale="122" zoomScaleNormal="100" zoomScaleSheetLayoutView="112" zoomScalePageLayoutView="122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9"/>
      <c r="C1" s="29"/>
      <c r="D1" s="29"/>
      <c r="E1" s="29"/>
      <c r="F1" s="29"/>
      <c r="G1" s="29"/>
      <c r="H1" s="29"/>
    </row>
    <row r="6" spans="2:9">
      <c r="H6" s="14" t="s">
        <v>13</v>
      </c>
      <c r="I6" s="1"/>
    </row>
    <row r="7" spans="2:9">
      <c r="H7" s="15" t="s">
        <v>38</v>
      </c>
    </row>
    <row r="12" spans="2:9" ht="12.6" customHeight="1">
      <c r="B12" s="30" t="s">
        <v>0</v>
      </c>
      <c r="C12" s="30"/>
      <c r="D12" s="31" t="s">
        <v>19</v>
      </c>
      <c r="E12" s="32"/>
      <c r="F12" t="s">
        <v>12</v>
      </c>
      <c r="G12" s="28" t="s">
        <v>14</v>
      </c>
      <c r="H12" s="28"/>
    </row>
    <row r="13" spans="2:9" ht="14.4" customHeight="1">
      <c r="B13" s="30" t="s">
        <v>1</v>
      </c>
      <c r="C13" s="30"/>
      <c r="D13" s="31" t="s">
        <v>20</v>
      </c>
      <c r="E13" s="32"/>
      <c r="F13" s="32"/>
      <c r="G13" s="32"/>
    </row>
    <row r="14" spans="2:9">
      <c r="B14" s="1" t="s">
        <v>2</v>
      </c>
      <c r="C14" s="1" t="s">
        <v>3</v>
      </c>
      <c r="D14" s="24" t="s">
        <v>4</v>
      </c>
      <c r="E14" s="24"/>
      <c r="F14" s="24" t="s">
        <v>11</v>
      </c>
      <c r="G14" s="24"/>
      <c r="H14" s="1" t="s">
        <v>17</v>
      </c>
    </row>
    <row r="15" spans="2:9">
      <c r="B15" s="2">
        <v>45509</v>
      </c>
      <c r="C15" s="1"/>
      <c r="D15" s="23" t="s">
        <v>39</v>
      </c>
      <c r="E15" s="24"/>
      <c r="F15" s="28" t="s">
        <v>21</v>
      </c>
      <c r="G15" s="28"/>
      <c r="H15" s="13" t="s">
        <v>18</v>
      </c>
    </row>
    <row r="16" spans="2:9" ht="15.6">
      <c r="B16" s="3" t="s">
        <v>5</v>
      </c>
      <c r="C16" s="3" t="s">
        <v>9</v>
      </c>
      <c r="D16" s="25" t="s">
        <v>6</v>
      </c>
      <c r="E16" s="25"/>
      <c r="F16" s="25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6" t="s">
        <v>22</v>
      </c>
      <c r="E17" s="20"/>
      <c r="F17" s="20"/>
      <c r="G17" s="5">
        <v>36000</v>
      </c>
      <c r="H17" s="8">
        <f>G17*B17*C17</f>
        <v>36000</v>
      </c>
    </row>
    <row r="18" spans="2:8" ht="16.2">
      <c r="B18" s="4">
        <v>2</v>
      </c>
      <c r="C18" s="9">
        <v>1</v>
      </c>
      <c r="D18" s="19" t="s">
        <v>23</v>
      </c>
      <c r="E18" s="27"/>
      <c r="F18" s="27"/>
      <c r="G18" s="40">
        <v>7500</v>
      </c>
      <c r="H18" s="8">
        <f t="shared" ref="H18:H32" si="0">G18*B18*C18</f>
        <v>15000</v>
      </c>
    </row>
    <row r="19" spans="2:8">
      <c r="B19" s="4">
        <v>1</v>
      </c>
      <c r="C19" s="9">
        <v>1</v>
      </c>
      <c r="D19" s="19" t="s">
        <v>24</v>
      </c>
      <c r="E19" s="20"/>
      <c r="F19" s="20"/>
      <c r="G19" s="5">
        <v>1500</v>
      </c>
      <c r="H19" s="8">
        <f t="shared" si="0"/>
        <v>1500</v>
      </c>
    </row>
    <row r="20" spans="2:8">
      <c r="B20" s="4">
        <v>1</v>
      </c>
      <c r="C20" s="9">
        <v>1</v>
      </c>
      <c r="D20" s="19" t="s">
        <v>25</v>
      </c>
      <c r="E20" s="20"/>
      <c r="F20" s="20"/>
      <c r="G20" s="5">
        <v>500</v>
      </c>
      <c r="H20" s="8">
        <f t="shared" si="0"/>
        <v>500</v>
      </c>
    </row>
    <row r="21" spans="2:8">
      <c r="B21" s="4">
        <v>2</v>
      </c>
      <c r="C21" s="9">
        <v>1</v>
      </c>
      <c r="D21" s="21" t="s">
        <v>26</v>
      </c>
      <c r="E21" s="22"/>
      <c r="F21" s="22"/>
      <c r="G21" s="5">
        <v>700</v>
      </c>
      <c r="H21" s="8">
        <f t="shared" si="0"/>
        <v>1400</v>
      </c>
    </row>
    <row r="22" spans="2:8">
      <c r="B22" s="4">
        <v>1</v>
      </c>
      <c r="C22" s="9">
        <v>1</v>
      </c>
      <c r="D22" s="21" t="s">
        <v>27</v>
      </c>
      <c r="E22" s="22"/>
      <c r="F22" s="22"/>
      <c r="G22" s="5">
        <v>5000</v>
      </c>
      <c r="H22" s="8">
        <f t="shared" si="0"/>
        <v>5000</v>
      </c>
    </row>
    <row r="23" spans="2:8">
      <c r="B23" s="4">
        <v>8</v>
      </c>
      <c r="C23" s="9">
        <v>1</v>
      </c>
      <c r="D23" s="21" t="s">
        <v>28</v>
      </c>
      <c r="E23" s="22"/>
      <c r="F23" s="22"/>
      <c r="G23" s="5">
        <v>350</v>
      </c>
      <c r="H23" s="8">
        <f t="shared" si="0"/>
        <v>2800</v>
      </c>
    </row>
    <row r="24" spans="2:8">
      <c r="B24" s="4">
        <v>2</v>
      </c>
      <c r="C24" s="9">
        <v>1</v>
      </c>
      <c r="D24" s="21" t="s">
        <v>29</v>
      </c>
      <c r="E24" s="22"/>
      <c r="F24" s="22"/>
      <c r="G24" s="5">
        <v>1700</v>
      </c>
      <c r="H24" s="8">
        <f t="shared" si="0"/>
        <v>3400</v>
      </c>
    </row>
    <row r="25" spans="2:8">
      <c r="B25" s="4">
        <v>2</v>
      </c>
      <c r="C25" s="9">
        <v>1</v>
      </c>
      <c r="D25" s="16" t="s">
        <v>30</v>
      </c>
      <c r="E25" s="17"/>
      <c r="F25" s="18"/>
      <c r="G25" s="5">
        <v>1700</v>
      </c>
      <c r="H25" s="8">
        <f t="shared" si="0"/>
        <v>3400</v>
      </c>
    </row>
    <row r="26" spans="2:8">
      <c r="B26" s="4">
        <v>1</v>
      </c>
      <c r="C26" s="9">
        <v>1</v>
      </c>
      <c r="D26" s="19" t="s">
        <v>31</v>
      </c>
      <c r="E26" s="20"/>
      <c r="F26" s="20"/>
      <c r="G26" s="5">
        <v>2500</v>
      </c>
      <c r="H26" s="8">
        <f t="shared" si="0"/>
        <v>2500</v>
      </c>
    </row>
    <row r="27" spans="2:8">
      <c r="B27" s="4">
        <v>2</v>
      </c>
      <c r="C27" s="9">
        <v>1</v>
      </c>
      <c r="D27" s="35" t="s">
        <v>32</v>
      </c>
      <c r="E27" s="36"/>
      <c r="F27" s="37"/>
      <c r="G27" s="5">
        <v>1000</v>
      </c>
      <c r="H27" s="8">
        <f t="shared" si="0"/>
        <v>2000</v>
      </c>
    </row>
    <row r="28" spans="2:8">
      <c r="B28" s="4">
        <v>1</v>
      </c>
      <c r="C28" s="9">
        <v>1</v>
      </c>
      <c r="D28" s="21" t="s">
        <v>33</v>
      </c>
      <c r="E28" s="22"/>
      <c r="F28" s="22"/>
      <c r="G28" s="5">
        <v>2000</v>
      </c>
      <c r="H28" s="8">
        <f t="shared" si="0"/>
        <v>2000</v>
      </c>
    </row>
    <row r="29" spans="2:8">
      <c r="B29" s="4">
        <v>4</v>
      </c>
      <c r="C29" s="9">
        <v>1</v>
      </c>
      <c r="D29" s="16" t="s">
        <v>34</v>
      </c>
      <c r="E29" s="38"/>
      <c r="F29" s="39"/>
      <c r="G29" s="5">
        <v>1350</v>
      </c>
      <c r="H29" s="8">
        <f t="shared" si="0"/>
        <v>5400</v>
      </c>
    </row>
    <row r="30" spans="2:8">
      <c r="B30" s="4">
        <v>14</v>
      </c>
      <c r="C30" s="9">
        <v>1</v>
      </c>
      <c r="D30" s="16" t="s">
        <v>35</v>
      </c>
      <c r="E30" s="38"/>
      <c r="F30" s="39"/>
      <c r="G30" s="5">
        <v>225</v>
      </c>
      <c r="H30" s="8">
        <f t="shared" si="0"/>
        <v>3150</v>
      </c>
    </row>
    <row r="31" spans="2:8">
      <c r="B31" s="4">
        <v>1</v>
      </c>
      <c r="C31" s="9">
        <v>1</v>
      </c>
      <c r="D31" s="16" t="s">
        <v>36</v>
      </c>
      <c r="E31" s="38"/>
      <c r="F31" s="39"/>
      <c r="G31" s="5">
        <v>5000</v>
      </c>
      <c r="H31" s="8">
        <f t="shared" si="0"/>
        <v>5000</v>
      </c>
    </row>
    <row r="32" spans="2:8">
      <c r="B32" s="4">
        <v>4</v>
      </c>
      <c r="C32" s="9">
        <v>1</v>
      </c>
      <c r="D32" s="16" t="s">
        <v>37</v>
      </c>
      <c r="E32" s="38"/>
      <c r="F32" s="39"/>
      <c r="G32" s="5">
        <v>1000</v>
      </c>
      <c r="H32" s="8">
        <f t="shared" si="0"/>
        <v>4000</v>
      </c>
    </row>
    <row r="33" spans="2:8">
      <c r="D33" s="33"/>
      <c r="E33" s="33"/>
      <c r="F33" s="33"/>
      <c r="G33" s="10" t="s">
        <v>10</v>
      </c>
      <c r="H33" s="6">
        <f>SUM(H17:H32)</f>
        <v>93050</v>
      </c>
    </row>
    <row r="34" spans="2:8">
      <c r="D34" s="34"/>
      <c r="E34" s="34"/>
      <c r="F34" s="34"/>
      <c r="G34" s="10" t="s">
        <v>15</v>
      </c>
      <c r="H34" s="11">
        <f>H33*0.15</f>
        <v>13957.5</v>
      </c>
    </row>
    <row r="35" spans="2:8">
      <c r="D35" s="34"/>
      <c r="E35" s="34"/>
      <c r="F35" s="34"/>
      <c r="G35" s="10" t="s">
        <v>16</v>
      </c>
      <c r="H35" s="12">
        <f>H33+H34</f>
        <v>107007.5</v>
      </c>
    </row>
    <row r="46" spans="2:8" ht="26.4" customHeight="1"/>
    <row r="47" spans="2:8">
      <c r="B47" s="7"/>
      <c r="C47" s="7"/>
      <c r="D47" s="7"/>
      <c r="E47" s="7"/>
      <c r="F47" s="7"/>
      <c r="G47" s="7"/>
      <c r="H47" s="7"/>
    </row>
    <row r="48" spans="2:8" ht="27.6" customHeight="1"/>
    <row r="49" ht="5.4" customHeight="1"/>
    <row r="51" ht="25.2" customHeight="1"/>
    <row r="58" ht="21" customHeight="1"/>
    <row r="60" ht="1.95" customHeight="1"/>
    <row r="61" ht="7.95" customHeight="1"/>
    <row r="62" ht="16.05" customHeight="1"/>
    <row r="64" ht="6" customHeight="1"/>
    <row r="65" ht="9.75" customHeight="1"/>
  </sheetData>
  <mergeCells count="30">
    <mergeCell ref="D33:F33"/>
    <mergeCell ref="D34:F34"/>
    <mergeCell ref="D27:F27"/>
    <mergeCell ref="D35:F35"/>
    <mergeCell ref="D26:F26"/>
    <mergeCell ref="D28:F28"/>
    <mergeCell ref="D29:F29"/>
    <mergeCell ref="D30:F30"/>
    <mergeCell ref="D31:F31"/>
    <mergeCell ref="D32:F32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18:F18"/>
    <mergeCell ref="D24:F24"/>
    <mergeCell ref="F15:G15"/>
    <mergeCell ref="D25:F25"/>
    <mergeCell ref="D19:F19"/>
    <mergeCell ref="D20:F20"/>
    <mergeCell ref="D21:F21"/>
    <mergeCell ref="D22:F22"/>
    <mergeCell ref="D23:F2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2024-08-16T01:50:58Z</cp:lastPrinted>
  <dcterms:created xsi:type="dcterms:W3CDTF">2022-10-19T19:05:00Z</dcterms:created>
  <dcterms:modified xsi:type="dcterms:W3CDTF">2024-08-16T01:56:47Z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