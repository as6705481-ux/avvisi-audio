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D12DEC6D-7EE1-429F-8DB7-90A9D0D84ACD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H23" i="1"/>
  <c r="H17" i="1"/>
  <c r="H19" i="1"/>
  <c r="H20" i="1"/>
  <c r="H18" i="1"/>
  <c r="H24" i="1" l="1"/>
  <c r="H25" i="1" s="1"/>
  <c r="H26" i="1" l="1"/>
</calcChain>
</file>

<file path=xl/sharedStrings.xml><?xml version="1.0" encoding="utf-8"?>
<sst xmlns="http://schemas.openxmlformats.org/spreadsheetml/2006/main" count="29" uniqueCount="29">
  <si>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</si>
  <si>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</si>
  <si>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</si>
  <si>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</si>
  <si>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</si>
  <si>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</si>
  <si>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</si>
  <si>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</si>
  <si>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</si>
  <si>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</si>
  <si>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</si>
  <si>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</si>
  <si>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</si>
  <si>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</si>
  <si>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</si>
  <si>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</si>
  <si>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</si>
  <si>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 xml:space="preserve">Evento Corporativo </t>
  </si>
  <si>
    <t>ISV 15%</t>
  </si>
  <si>
    <t>2025-044</t>
  </si>
  <si>
    <t xml:space="preserve">Luces led </t>
  </si>
  <si>
    <t xml:space="preserve">Pantalla led 2 x 1 </t>
  </si>
  <si>
    <t xml:space="preserve">Audio Profesional </t>
  </si>
  <si>
    <t xml:space="preserve">Pantalla Led 2.5 x 1 </t>
  </si>
  <si>
    <t xml:space="preserve">Pantalla led 3.5 x 2.5 </t>
  </si>
  <si>
    <t xml:space="preserve">Tarima con grama sintetica </t>
  </si>
  <si>
    <t xml:space="preserve">18 de febrero </t>
  </si>
  <si>
    <t xml:space="preserve">Eufemio  Martinez </t>
  </si>
  <si>
    <t xml:space="preserve">Tegucigalpa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</si>
</sst>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44" fontId="7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>
      <alignment horizontal="center" vertical="center"/>
    </xf>
    <xf numFmtId="0" fontId="7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7" fillId="3" borderId="3" xfId="3" applyFill="1" applyBorder="1" applyAlignment="1"/>
    <xf numFmtId="44" fontId="7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1" fillId="0" borderId="7" xfId="0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398634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0</xdr:colOff>
      <xdr:row>23</xdr:row>
      <xdr:rowOff>105920</xdr:rowOff>
    </xdr:from>
    <xdr:to>
      <xdr:col>8</xdr:col>
      <xdr:colOff>19291</xdr:colOff>
      <xdr:row>33</xdr:row>
      <xdr:rowOff>180774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4329" y="3954502"/>
          <a:ext cx="6713316" cy="2881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32</xdr:row>
      <xdr:rowOff>601411</xdr:rowOff>
    </xdr:from>
    <xdr:to>
      <xdr:col>4</xdr:col>
      <xdr:colOff>168596</xdr:colOff>
      <xdr:row>34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32</xdr:row>
      <xdr:rowOff>612567</xdr:rowOff>
    </xdr:from>
    <xdr:to>
      <xdr:col>7</xdr:col>
      <xdr:colOff>991200</xdr:colOff>
      <xdr:row>36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31</xdr:row>
      <xdr:rowOff>152410</xdr:rowOff>
    </xdr:from>
    <xdr:to>
      <xdr:col>4</xdr:col>
      <xdr:colOff>318302</xdr:colOff>
      <xdr:row>34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zoomScale="79" zoomScaleNormal="100" zoomScaleSheetLayoutView="112" zoomScalePageLayoutView="79" workbookViewId="0">
      <selection activeCell="H15" sqref="H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5" t="s">
        <v>12</v>
      </c>
      <c r="I6" s="1"/>
    </row>
    <row r="7" spans="2:9">
      <c r="H7" s="15" t="s">
        <v>19</v>
      </c>
    </row>
    <row r="12" spans="2:9" ht="12.6" customHeight="1">
      <c r="B12" s="23" t="s">
        <v>13</v>
      </c>
      <c r="C12" s="23"/>
      <c r="D12" s="27"/>
      <c r="E12" s="25"/>
      <c r="F12" t="s">
        <v>11</v>
      </c>
      <c r="G12" s="28" t="s">
        <v>27</v>
      </c>
      <c r="H12" s="28"/>
    </row>
    <row r="13" spans="2:9" ht="14.4" customHeight="1">
      <c r="B13" s="23" t="s">
        <v>0</v>
      </c>
      <c r="C13" s="23"/>
      <c r="D13" s="24" t="s">
        <v>28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14</v>
      </c>
    </row>
    <row r="15" spans="2:9">
      <c r="B15" s="2">
        <v>45686</v>
      </c>
      <c r="C15" s="1" t="s">
        <v>15</v>
      </c>
      <c r="D15" s="29" t="s">
        <v>26</v>
      </c>
      <c r="E15" s="30"/>
      <c r="F15" s="32" t="s">
        <v>17</v>
      </c>
      <c r="G15" s="28"/>
      <c r="H15" s="11"/>
    </row>
    <row r="16" spans="2:9" ht="15.6">
      <c r="B16" s="3" t="s">
        <v>4</v>
      </c>
      <c r="C16" s="3" t="s">
        <v>8</v>
      </c>
      <c r="D16" s="31" t="s">
        <v>5</v>
      </c>
      <c r="E16" s="31"/>
      <c r="F16" s="31"/>
      <c r="G16" s="3" t="s">
        <v>6</v>
      </c>
      <c r="H16" s="3" t="s">
        <v>7</v>
      </c>
    </row>
    <row r="17" spans="2:8">
      <c r="B17" s="9">
        <v>2</v>
      </c>
      <c r="C17" s="9">
        <v>1</v>
      </c>
      <c r="D17" s="16" t="s">
        <v>21</v>
      </c>
      <c r="E17" s="17"/>
      <c r="F17" s="18"/>
      <c r="G17" s="12">
        <v>2500</v>
      </c>
      <c r="H17" s="13">
        <f>G17*B17*C17</f>
        <v>5000</v>
      </c>
    </row>
    <row r="18" spans="2:8">
      <c r="B18" s="9">
        <v>1</v>
      </c>
      <c r="C18" s="9">
        <v>1</v>
      </c>
      <c r="D18" s="16" t="s">
        <v>22</v>
      </c>
      <c r="E18" s="17"/>
      <c r="F18" s="18"/>
      <c r="G18" s="12">
        <v>3000</v>
      </c>
      <c r="H18" s="13">
        <f>G18*B18</f>
        <v>3000</v>
      </c>
    </row>
    <row r="19" spans="2:8">
      <c r="B19" s="10">
        <v>16</v>
      </c>
      <c r="C19" s="10">
        <v>1</v>
      </c>
      <c r="D19" s="16" t="s">
        <v>20</v>
      </c>
      <c r="E19" s="17"/>
      <c r="F19" s="18"/>
      <c r="G19" s="14">
        <v>150</v>
      </c>
      <c r="H19" s="13">
        <f t="shared" ref="H19:H23" si="0">G19*B19</f>
        <v>2400</v>
      </c>
    </row>
    <row r="20" spans="2:8">
      <c r="B20" s="10">
        <v>2</v>
      </c>
      <c r="C20" s="10">
        <v>1</v>
      </c>
      <c r="D20" s="16" t="s">
        <v>23</v>
      </c>
      <c r="E20" s="17"/>
      <c r="F20" s="18"/>
      <c r="G20" s="12">
        <v>3000</v>
      </c>
      <c r="H20" s="13">
        <f t="shared" si="0"/>
        <v>6000</v>
      </c>
    </row>
    <row r="21" spans="2:8">
      <c r="B21" s="10">
        <v>1</v>
      </c>
      <c r="C21" s="10">
        <v>1</v>
      </c>
      <c r="D21" s="16" t="s">
        <v>24</v>
      </c>
      <c r="E21" s="19"/>
      <c r="F21" s="20"/>
      <c r="G21" s="12">
        <v>13000</v>
      </c>
      <c r="H21" s="13">
        <f t="shared" si="0"/>
        <v>13000</v>
      </c>
    </row>
    <row r="22" spans="2:8">
      <c r="B22" s="10">
        <v>1</v>
      </c>
      <c r="C22" s="10">
        <v>1</v>
      </c>
      <c r="D22" s="16" t="s">
        <v>25</v>
      </c>
      <c r="E22" s="19"/>
      <c r="F22" s="20"/>
      <c r="G22" s="12">
        <v>10000</v>
      </c>
      <c r="H22" s="13">
        <f t="shared" si="0"/>
        <v>10000</v>
      </c>
    </row>
    <row r="23" spans="2:8">
      <c r="B23" s="10"/>
      <c r="C23" s="10"/>
      <c r="D23" s="16"/>
      <c r="E23" s="19"/>
      <c r="F23" s="20"/>
      <c r="G23" s="12"/>
      <c r="H23" s="13">
        <f t="shared" si="0"/>
        <v>0</v>
      </c>
    </row>
    <row r="24" spans="2:8">
      <c r="D24" s="21"/>
      <c r="E24" s="21"/>
      <c r="F24" s="21"/>
      <c r="G24" s="6" t="s">
        <v>9</v>
      </c>
      <c r="H24" s="7">
        <f>SUM(H17:H23)</f>
        <v>39400</v>
      </c>
    </row>
    <row r="25" spans="2:8">
      <c r="G25" s="6" t="s">
        <v>18</v>
      </c>
      <c r="H25" s="8">
        <f>H24*0.15</f>
        <v>5910</v>
      </c>
    </row>
    <row r="26" spans="2:8">
      <c r="G26" s="6" t="s">
        <v>16</v>
      </c>
      <c r="H26" s="8">
        <f>H25+H24</f>
        <v>45310</v>
      </c>
    </row>
    <row r="32" spans="2:8" ht="31.8" customHeight="1"/>
    <row r="33" spans="2:8" ht="73.8" customHeight="1"/>
    <row r="35" spans="2:8" ht="27.6" customHeight="1"/>
    <row r="36" spans="2:8" ht="5.4" customHeight="1">
      <c r="B36" s="4"/>
      <c r="C36" s="4"/>
      <c r="D36" s="4"/>
      <c r="E36" s="4"/>
      <c r="F36" s="4"/>
      <c r="G36" s="4"/>
      <c r="H36" s="4"/>
    </row>
    <row r="38" spans="2:8" ht="25.2" customHeight="1"/>
    <row r="45" spans="2:8" ht="21" customHeight="1"/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19">
    <mergeCell ref="D15:E15"/>
    <mergeCell ref="D16:F16"/>
    <mergeCell ref="D17:F17"/>
    <mergeCell ref="F15:G15"/>
    <mergeCell ref="D19:F19"/>
    <mergeCell ref="B1:H1"/>
    <mergeCell ref="B12:C12"/>
    <mergeCell ref="B13:C13"/>
    <mergeCell ref="D13:G13"/>
    <mergeCell ref="D14:E14"/>
    <mergeCell ref="D12:E12"/>
    <mergeCell ref="G12:H12"/>
    <mergeCell ref="F14:G14"/>
    <mergeCell ref="D18:F18"/>
    <mergeCell ref="D21:F21"/>
    <mergeCell ref="D22:F22"/>
    <mergeCell ref="D24:F24"/>
    <mergeCell ref="D20:F20"/>
    <mergeCell ref="D23:F23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2025-01-29T16:55:30Z</cp:lastPrinted>
  <dcterms:created xsi:type="dcterms:W3CDTF">2022-10-19T19:05:00Z</dcterms:created>
  <dcterms:modified xsi:type="dcterms:W3CDTF">2025-01-31T06:52:47Z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