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A531C4A0-89BB-4E2A-94E4-16324A7D65B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<sst xmlns="http://schemas.openxmlformats.org/spreadsheetml/2006/main" count="29" uniqueCount="29">
  <si>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</si>
  <si>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</si>
  <si>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</si>
  <si>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</si>
  <si>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</si>
  <si>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</si>
  <si>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</si>
  <si>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</si>
  <si>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</si>
  <si>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</si>
  <si>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</si>
  <si>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</si>
  <si>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</si>
  <si>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</si>
  <si>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</si>
  <si>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</si>
  <si>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</si>
  <si>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</si>
  <si>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Seguros Equidad </t>
  </si>
  <si>
    <t xml:space="preserve">Montaje y desmontaje </t>
  </si>
  <si>
    <t xml:space="preserve">31 del Julio al 2 de agosto  </t>
  </si>
  <si>
    <t xml:space="preserve">Tegucigalpa </t>
  </si>
  <si>
    <t>2024-311</t>
  </si>
  <si>
    <t>Luces par led para stand</t>
  </si>
  <si>
    <t>Stand para marca estructura truss</t>
  </si>
  <si>
    <t>Impresiones full color 3 x 3</t>
  </si>
  <si>
    <t xml:space="preserve">Sillas Cocteleras </t>
  </si>
  <si>
    <t xml:space="preserve">mesas cocteleras </t>
  </si>
  <si>
    <t>Pantalla de tv 55 pulg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</si>
</sst>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4" borderId="5" applyNumberFormat="0" applyAlignment="0" applyProtection="0"/>
    <xf numFmtId="0" fontId="7" fillId="5" borderId="0" applyNumberFormat="0" applyBorder="0" applyAlignment="0" applyProtection="0"/>
    <xf numFmtId="0" fontId="8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8" fillId="3" borderId="3" xfId="3" applyBorder="1" applyAlignment="1">
      <alignment horizontal="center"/>
    </xf>
    <xf numFmtId="164" fontId="8" fillId="3" borderId="3" xfId="3" applyNumberFormat="1" applyBorder="1"/>
    <xf numFmtId="164" fontId="6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8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8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3" borderId="3" xfId="3" applyFont="1" applyBorder="1" applyAlignment="1">
      <alignment horizontal="left"/>
    </xf>
    <xf numFmtId="0" fontId="9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8" fillId="3" borderId="7" xfId="3" applyBorder="1" applyAlignment="1">
      <alignment horizontal="left" vertical="center"/>
    </xf>
    <xf numFmtId="0" fontId="8" fillId="3" borderId="8" xfId="3" applyBorder="1" applyAlignment="1">
      <alignment horizontal="left" vertical="center"/>
    </xf>
    <xf numFmtId="0" fontId="8" fillId="3" borderId="3" xfId="3" applyBorder="1" applyAlignment="1">
      <alignment horizontal="left" vertical="center"/>
    </xf>
    <xf numFmtId="0" fontId="4" fillId="3" borderId="8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298988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26</xdr:row>
      <xdr:rowOff>63501</xdr:rowOff>
    </xdr:from>
    <xdr:to>
      <xdr:col>8</xdr:col>
      <xdr:colOff>381001</xdr:colOff>
      <xdr:row>36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37</xdr:row>
      <xdr:rowOff>403225</xdr:rowOff>
    </xdr:from>
    <xdr:to>
      <xdr:col>4</xdr:col>
      <xdr:colOff>20320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37</xdr:row>
      <xdr:rowOff>417512</xdr:rowOff>
    </xdr:from>
    <xdr:to>
      <xdr:col>8</xdr:col>
      <xdr:colOff>424180</xdr:colOff>
      <xdr:row>44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6" zoomScale="96" zoomScaleNormal="100" zoomScaleSheetLayoutView="112" zoomScalePageLayoutView="96" workbookViewId="0">
      <selection activeCell="D25" sqref="D25:F25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9"/>
      <c r="C1" s="19"/>
      <c r="D1" s="19"/>
      <c r="E1" s="19"/>
      <c r="F1" s="19"/>
      <c r="G1" s="19"/>
      <c r="H1" s="19"/>
    </row>
    <row r="5" spans="2:9" ht="15" thickBot="1"/>
    <row r="6" spans="2:9" ht="15" thickBot="1">
      <c r="H6" s="10" t="s">
        <v>13</v>
      </c>
      <c r="I6" s="10" t="s">
        <v>22</v>
      </c>
    </row>
    <row r="12" spans="2:9" ht="12.6" customHeight="1">
      <c r="B12" s="20" t="s">
        <v>0</v>
      </c>
      <c r="C12" s="20"/>
      <c r="D12" s="24" t="s">
        <v>18</v>
      </c>
      <c r="E12" s="22"/>
      <c r="F12" t="s">
        <v>12</v>
      </c>
      <c r="G12" s="15" t="s">
        <v>15</v>
      </c>
      <c r="H12" s="15"/>
    </row>
    <row r="13" spans="2:9" ht="14.4" customHeight="1">
      <c r="B13" s="20" t="s">
        <v>1</v>
      </c>
      <c r="C13" s="20"/>
      <c r="D13" s="21" t="s">
        <v>21</v>
      </c>
      <c r="E13" s="22"/>
      <c r="F13" s="22"/>
      <c r="G13" s="22"/>
    </row>
    <row r="14" spans="2:9">
      <c r="B14" s="1" t="s">
        <v>2</v>
      </c>
      <c r="C14" s="1" t="s">
        <v>3</v>
      </c>
      <c r="D14" s="23" t="s">
        <v>4</v>
      </c>
      <c r="E14" s="23"/>
      <c r="F14" s="19" t="s">
        <v>11</v>
      </c>
      <c r="G14" s="19"/>
      <c r="H14" s="19"/>
    </row>
    <row r="15" spans="2:9">
      <c r="B15" s="2">
        <v>45469</v>
      </c>
      <c r="C15" s="1" t="s">
        <v>14</v>
      </c>
      <c r="D15" s="14" t="s">
        <v>20</v>
      </c>
      <c r="E15" s="14"/>
      <c r="F15" s="15"/>
      <c r="G15" s="15"/>
      <c r="H15" s="15"/>
    </row>
    <row r="16" spans="2:9" ht="15.6">
      <c r="B16" s="3" t="s">
        <v>5</v>
      </c>
      <c r="C16" s="3" t="s">
        <v>9</v>
      </c>
      <c r="D16" s="16" t="s">
        <v>6</v>
      </c>
      <c r="E16" s="16"/>
      <c r="F16" s="16"/>
      <c r="G16" s="3" t="s">
        <v>7</v>
      </c>
      <c r="H16" s="3" t="s">
        <v>8</v>
      </c>
    </row>
    <row r="17" spans="2:8">
      <c r="B17" s="4">
        <v>2</v>
      </c>
      <c r="C17" s="4">
        <v>3</v>
      </c>
      <c r="D17" s="17" t="s">
        <v>28</v>
      </c>
      <c r="E17" s="18"/>
      <c r="F17" s="18"/>
      <c r="G17" s="5">
        <v>1500</v>
      </c>
      <c r="H17" s="8">
        <f>G17*B17*C17</f>
        <v>9000</v>
      </c>
    </row>
    <row r="18" spans="2:8">
      <c r="B18" s="4">
        <v>1</v>
      </c>
      <c r="C18" s="9">
        <v>2</v>
      </c>
      <c r="D18" s="25" t="s">
        <v>19</v>
      </c>
      <c r="E18" s="26"/>
      <c r="F18" s="26"/>
      <c r="G18" s="5">
        <v>500</v>
      </c>
      <c r="H18" s="8">
        <f t="shared" ref="H18:H19" si="0">G18*B18*C18</f>
        <v>1000</v>
      </c>
    </row>
    <row r="19" spans="2:8">
      <c r="B19" s="4">
        <v>4</v>
      </c>
      <c r="C19" s="9">
        <v>3</v>
      </c>
      <c r="D19" s="37" t="s">
        <v>23</v>
      </c>
      <c r="E19" s="26"/>
      <c r="F19" s="26"/>
      <c r="G19" s="5">
        <v>0</v>
      </c>
      <c r="H19" s="8">
        <f t="shared" si="0"/>
        <v>0</v>
      </c>
    </row>
    <row r="20" spans="2:8">
      <c r="B20" s="4">
        <v>3</v>
      </c>
      <c r="C20" s="9">
        <v>1</v>
      </c>
      <c r="D20" s="37" t="s">
        <v>24</v>
      </c>
      <c r="E20" s="18"/>
      <c r="F20" s="18"/>
      <c r="G20" s="5">
        <v>3500</v>
      </c>
      <c r="H20" s="8">
        <f t="shared" ref="H20:H26" si="1">G20*B20*C20</f>
        <v>10500</v>
      </c>
    </row>
    <row r="21" spans="2:8">
      <c r="B21" s="4">
        <v>3</v>
      </c>
      <c r="C21" s="9">
        <v>1</v>
      </c>
      <c r="D21" s="38" t="s">
        <v>25</v>
      </c>
      <c r="E21" s="34"/>
      <c r="F21" s="34"/>
      <c r="G21" s="5">
        <v>2500</v>
      </c>
      <c r="H21" s="8">
        <f t="shared" si="1"/>
        <v>7500</v>
      </c>
    </row>
    <row r="22" spans="2:8">
      <c r="B22" s="4">
        <v>3</v>
      </c>
      <c r="C22" s="9">
        <v>3</v>
      </c>
      <c r="D22" s="38" t="s">
        <v>26</v>
      </c>
      <c r="E22" s="34"/>
      <c r="F22" s="34"/>
      <c r="G22" s="5">
        <v>150</v>
      </c>
      <c r="H22" s="8">
        <f t="shared" si="1"/>
        <v>1350</v>
      </c>
    </row>
    <row r="23" spans="2:8">
      <c r="B23" s="4">
        <v>2</v>
      </c>
      <c r="C23" s="9">
        <v>3</v>
      </c>
      <c r="D23" s="39" t="s">
        <v>27</v>
      </c>
      <c r="E23" s="35"/>
      <c r="F23" s="36"/>
      <c r="G23" s="5">
        <v>100</v>
      </c>
      <c r="H23" s="8">
        <f t="shared" si="1"/>
        <v>600</v>
      </c>
    </row>
    <row r="24" spans="2:8">
      <c r="B24" s="4"/>
      <c r="C24" s="9"/>
      <c r="D24" s="29"/>
      <c r="E24" s="30"/>
      <c r="F24" s="31"/>
      <c r="G24" s="5"/>
      <c r="H24" s="8">
        <f t="shared" si="1"/>
        <v>0</v>
      </c>
    </row>
    <row r="25" spans="2:8">
      <c r="B25" s="4"/>
      <c r="C25" s="9"/>
      <c r="D25" s="29"/>
      <c r="E25" s="30"/>
      <c r="F25" s="31"/>
      <c r="G25" s="5"/>
      <c r="H25" s="8">
        <f t="shared" si="1"/>
        <v>0</v>
      </c>
    </row>
    <row r="26" spans="2:8">
      <c r="B26" s="4"/>
      <c r="C26" s="4"/>
      <c r="D26" s="32"/>
      <c r="E26" s="33"/>
      <c r="F26" s="33"/>
      <c r="G26" s="5"/>
      <c r="H26" s="8">
        <f t="shared" si="1"/>
        <v>0</v>
      </c>
    </row>
    <row r="27" spans="2:8">
      <c r="D27" s="27"/>
      <c r="E27" s="27"/>
      <c r="F27" s="27"/>
      <c r="G27" s="11" t="s">
        <v>10</v>
      </c>
      <c r="H27" s="6">
        <f>SUM(H17:H26)</f>
        <v>29950</v>
      </c>
    </row>
    <row r="28" spans="2:8">
      <c r="D28" s="28"/>
      <c r="E28" s="28"/>
      <c r="F28" s="28"/>
      <c r="G28" s="11" t="s">
        <v>16</v>
      </c>
      <c r="H28" s="12">
        <f>H27*0.15</f>
        <v>4492.5</v>
      </c>
    </row>
    <row r="29" spans="2:8">
      <c r="D29" s="28"/>
      <c r="E29" s="28"/>
      <c r="F29" s="28"/>
      <c r="G29" s="11" t="s">
        <v>17</v>
      </c>
      <c r="H29" s="13">
        <f>H27+H28</f>
        <v>34442.5</v>
      </c>
    </row>
    <row r="38" spans="2:8" ht="33" customHeight="1"/>
    <row r="40" spans="2:8" ht="46.2" customHeight="1"/>
    <row r="41" spans="2:8" ht="6" customHeight="1">
      <c r="B41" s="7"/>
      <c r="C41" s="7"/>
      <c r="D41" s="7"/>
      <c r="E41" s="7"/>
      <c r="F41" s="7"/>
      <c r="G41" s="7"/>
      <c r="H41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4">
    <mergeCell ref="D18:F18"/>
    <mergeCell ref="D27:F27"/>
    <mergeCell ref="D28:F28"/>
    <mergeCell ref="D29:F29"/>
    <mergeCell ref="D24:F24"/>
    <mergeCell ref="D25:F25"/>
    <mergeCell ref="D26:F26"/>
    <mergeCell ref="D22:F22"/>
    <mergeCell ref="D23:F23"/>
    <mergeCell ref="D19:F19"/>
    <mergeCell ref="D20:F20"/>
    <mergeCell ref="D21:F21"/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</mergeCells>
  <phoneticPr fontId="11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2024-06-27T16:10:45Z</cp:lastPrinted>
  <dcterms:created xsi:type="dcterms:W3CDTF">2022-10-19T19:05:00Z</dcterms:created>
  <dcterms:modified xsi:type="dcterms:W3CDTF">2024-06-27T16:42:21Z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