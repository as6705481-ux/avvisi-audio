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C:\Users\HUAWEI\Desktop\"/>
    </mc:Choice>
  </mc:AlternateContent>
  <xr:revisionPtr revIDLastSave="0" documentId="8_{78D6AD3E-2BC7-4E1B-AFCC-329AEC016E9B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19" i="1"/>
  <c r="H20" i="1"/>
  <c r="H21" i="1"/>
  <c r="H22" i="1"/>
  <c r="H23" i="1"/>
  <c r="H24" i="1"/>
  <c r="H25" i="1"/>
  <c r="H26" i="1"/>
  <c r="H17" i="1"/>
  <c r="H27" i="1" l="1"/>
  <c r="H28" i="1" s="1"/>
  <c r="H29" i="1" s="1"/>
</calcChain>
</file>

<file path=xl/sharedStrings.xml><?xml version="1.0" encoding="utf-8"?>
<sst xmlns="http://schemas.openxmlformats.org/spreadsheetml/2006/main" count="24" uniqueCount="24">
  <si>
    <t xml:space="preserve">Nombre del Cliente </t>
  </si>
  <si>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</si>
  <si>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</si>
  <si>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</si>
  <si>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</si>
  <si>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</si>
  <si>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</si>
  <si>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</si>
  <si>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</si>
  <si>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</si>
  <si>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</si>
  <si>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</si>
  <si>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</si>
  <si>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</si>
  <si>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5 horas  </t>
  </si>
  <si>
    <t xml:space="preserve">Eufemio Martinez </t>
  </si>
  <si>
    <t xml:space="preserve">ISV 15% </t>
  </si>
  <si>
    <t xml:space="preserve">Total </t>
  </si>
  <si>
    <t xml:space="preserve">Tegucigalpa </t>
  </si>
  <si>
    <t>Pantalla led de 3 x 2 P 3.91</t>
  </si>
  <si>
    <t>Sistema de audio y microfonia</t>
  </si>
  <si>
    <t xml:space="preserve">Tarima de 3 x 3 metros a 60 cm </t>
  </si>
  <si>
    <t>Luces led Par 54</t>
  </si>
  <si>
    <t>2024-313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</si>
</sst>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5" fillId="4" borderId="5" applyNumberFormat="0" applyAlignment="0" applyProtection="0"/>
    <xf numFmtId="0" fontId="6" fillId="5" borderId="0" applyNumberFormat="0" applyBorder="0" applyAlignment="0" applyProtection="0"/>
    <xf numFmtId="0" fontId="7" fillId="3" borderId="0" applyNumberFormat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4" fillId="2" borderId="3" xfId="2" applyFont="1" applyFill="1" applyBorder="1" applyAlignment="1">
      <alignment horizontal="center"/>
    </xf>
    <xf numFmtId="0" fontId="7" fillId="3" borderId="3" xfId="3" applyBorder="1" applyAlignment="1">
      <alignment horizontal="center"/>
    </xf>
    <xf numFmtId="164" fontId="7" fillId="3" borderId="3" xfId="3" applyNumberFormat="1" applyBorder="1"/>
    <xf numFmtId="164" fontId="5" fillId="2" borderId="3" xfId="3" applyNumberFormat="1" applyFont="1" applyFill="1" applyBorder="1"/>
    <xf numFmtId="0" fontId="0" fillId="2" borderId="0" xfId="0" applyFill="1" applyAlignment="1">
      <alignment horizontal="center"/>
    </xf>
    <xf numFmtId="164" fontId="7" fillId="3" borderId="3" xfId="3" applyNumberFormat="1" applyBorder="1" applyAlignment="1">
      <alignment vertical="center"/>
    </xf>
    <xf numFmtId="0" fontId="0" fillId="3" borderId="3" xfId="3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5" fillId="2" borderId="3" xfId="3" applyFont="1" applyFill="1" applyBorder="1" applyAlignment="1">
      <alignment horizontal="center"/>
    </xf>
    <xf numFmtId="164" fontId="9" fillId="2" borderId="3" xfId="3" applyNumberFormat="1" applyFont="1" applyFill="1" applyBorder="1"/>
    <xf numFmtId="164" fontId="9" fillId="2" borderId="3" xfId="1" applyNumberFormat="1" applyFont="1" applyFill="1" applyBorder="1"/>
    <xf numFmtId="0" fontId="8" fillId="3" borderId="3" xfId="3" applyFont="1" applyBorder="1" applyAlignment="1">
      <alignment horizontal="left"/>
    </xf>
    <xf numFmtId="0" fontId="0" fillId="0" borderId="2" xfId="0" applyBorder="1"/>
    <xf numFmtId="0" fontId="0" fillId="0" borderId="0" xfId="0"/>
    <xf numFmtId="0" fontId="0" fillId="3" borderId="7" xfId="3" applyFont="1" applyBorder="1" applyAlignment="1">
      <alignment horizontal="left" vertical="center"/>
    </xf>
    <xf numFmtId="0" fontId="0" fillId="3" borderId="8" xfId="3" applyFont="1" applyBorder="1" applyAlignment="1">
      <alignment horizontal="left" vertical="center"/>
    </xf>
    <xf numFmtId="0" fontId="0" fillId="3" borderId="4" xfId="3" applyFont="1" applyBorder="1" applyAlignment="1">
      <alignment horizontal="left" vertical="center"/>
    </xf>
    <xf numFmtId="0" fontId="7" fillId="3" borderId="7" xfId="3" applyBorder="1" applyAlignment="1">
      <alignment horizontal="left" vertical="center"/>
    </xf>
    <xf numFmtId="0" fontId="7" fillId="3" borderId="8" xfId="3" applyBorder="1" applyAlignment="1">
      <alignment horizontal="left" vertical="center"/>
    </xf>
    <xf numFmtId="0" fontId="7" fillId="3" borderId="3" xfId="3" applyBorder="1" applyAlignment="1">
      <alignment horizontal="left" vertical="center"/>
    </xf>
    <xf numFmtId="0" fontId="2" fillId="3" borderId="8" xfId="3" applyFont="1" applyBorder="1" applyAlignment="1">
      <alignment horizontal="left" vertical="center"/>
    </xf>
    <xf numFmtId="0" fontId="2" fillId="3" borderId="4" xfId="3" applyFont="1" applyBorder="1" applyAlignment="1">
      <alignment horizontal="left" vertical="center"/>
    </xf>
    <xf numFmtId="0" fontId="7" fillId="3" borderId="3" xfId="3" applyBorder="1" applyAlignment="1">
      <alignment horizontal="left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0" fontId="0" fillId="3" borderId="3" xfId="3" applyFont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1" fillId="3" borderId="3" xfId="3" applyFont="1" applyBorder="1" applyAlignment="1">
      <alignment horizontal="left"/>
    </xf>
    <xf numFmtId="0" fontId="1" fillId="3" borderId="3" xfId="3" applyFont="1" applyBorder="1" applyAlignment="1">
      <alignment horizontal="left" vertical="center"/>
    </xf>
    <xf numFmtId="0" fontId="1" fillId="3" borderId="7" xfId="3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</cellXfs>
  <cellStyles count="4">
    <cellStyle name="20% - Énfasis2" xfId="3" builtinId="34"/>
    <cellStyle name="Celda de comprobación" xfId="1" builtinId="23"/>
    <cellStyle name="Énfasis2" xfId="2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34</xdr:row>
      <xdr:rowOff>83925</xdr:rowOff>
    </xdr:from>
    <xdr:to>
      <xdr:col>1</xdr:col>
      <xdr:colOff>113617</xdr:colOff>
      <xdr:row>36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467714" y="6298988"/>
          <a:ext cx="50716" cy="331004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269875</xdr:colOff>
      <xdr:row>1</xdr:row>
      <xdr:rowOff>16790</xdr:rowOff>
    </xdr:from>
    <xdr:to>
      <xdr:col>8</xdr:col>
      <xdr:colOff>365124</xdr:colOff>
      <xdr:row>8</xdr:row>
      <xdr:rowOff>55561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69875" y="199353"/>
          <a:ext cx="6619874" cy="1332583"/>
          <a:chOff x="-81784" y="149670"/>
          <a:chExt cx="6641069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4" y="149670"/>
            <a:ext cx="1385548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934528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29845" y="1577340"/>
          <a:ext cx="6218555" cy="497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1</xdr:col>
      <xdr:colOff>9525</xdr:colOff>
      <xdr:row>26</xdr:row>
      <xdr:rowOff>63501</xdr:rowOff>
    </xdr:from>
    <xdr:to>
      <xdr:col>8</xdr:col>
      <xdr:colOff>381001</xdr:colOff>
      <xdr:row>36</xdr:row>
      <xdr:rowOff>47625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414338" y="4818064"/>
          <a:ext cx="6491288" cy="18097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0</xdr:col>
      <xdr:colOff>377508</xdr:colOff>
      <xdr:row>37</xdr:row>
      <xdr:rowOff>403225</xdr:rowOff>
    </xdr:from>
    <xdr:to>
      <xdr:col>4</xdr:col>
      <xdr:colOff>20320</xdr:colOff>
      <xdr:row>44</xdr:row>
      <xdr:rowOff>26035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377508" y="7165975"/>
          <a:ext cx="2381250" cy="14404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5</xdr:col>
      <xdr:colOff>478155</xdr:colOff>
      <xdr:row>37</xdr:row>
      <xdr:rowOff>417512</xdr:rowOff>
    </xdr:from>
    <xdr:to>
      <xdr:col>8</xdr:col>
      <xdr:colOff>424180</xdr:colOff>
      <xdr:row>44</xdr:row>
      <xdr:rowOff>176529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4002405" y="7180262"/>
          <a:ext cx="2946400" cy="15767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9"/>
  <sheetViews>
    <sheetView tabSelected="1" view="pageLayout" zoomScale="96" zoomScaleNormal="100" zoomScaleSheetLayoutView="112" zoomScalePageLayoutView="96" workbookViewId="0">
      <selection activeCell="I9" sqref="I9"/>
    </sheetView>
  </sheetViews>
  <sheetFormatPr baseColWidth="10" defaultColWidth="11" defaultRowHeight="14.4"/>
  <cols>
    <col min="1" max="1" width="5.6640625" customWidth="1"/>
    <col min="2" max="2" width="12.109375" customWidth="1"/>
    <col min="3" max="3" width="7.88671875" bestFit="1" customWidth="1"/>
    <col min="4" max="4" width="12.88671875" customWidth="1"/>
    <col min="6" max="6" width="16.5546875" customWidth="1"/>
    <col min="7" max="7" width="11.5546875"/>
    <col min="8" max="8" width="13.88671875" customWidth="1"/>
  </cols>
  <sheetData>
    <row r="1" spans="2:9">
      <c r="B1" s="30"/>
      <c r="C1" s="30"/>
      <c r="D1" s="30"/>
      <c r="E1" s="30"/>
      <c r="F1" s="30"/>
      <c r="G1" s="30"/>
      <c r="H1" s="30"/>
    </row>
    <row r="5" spans="2:9" ht="15" thickBot="1"/>
    <row r="6" spans="2:9" ht="15" thickBot="1">
      <c r="H6" s="10" t="s">
        <v>13</v>
      </c>
      <c r="I6" s="10" t="s">
        <v>23</v>
      </c>
    </row>
    <row r="12" spans="2:9" ht="12.6" customHeight="1">
      <c r="B12" s="31" t="s">
        <v>0</v>
      </c>
      <c r="C12" s="31"/>
      <c r="D12" s="32"/>
      <c r="E12" s="33"/>
      <c r="F12" t="s">
        <v>12</v>
      </c>
      <c r="G12" s="27" t="s">
        <v>15</v>
      </c>
      <c r="H12" s="27"/>
    </row>
    <row r="13" spans="2:9" ht="14.4" customHeight="1">
      <c r="B13" s="31" t="s">
        <v>1</v>
      </c>
      <c r="C13" s="31"/>
      <c r="D13" s="38" t="s">
        <v>18</v>
      </c>
      <c r="E13" s="33"/>
      <c r="F13" s="33"/>
      <c r="G13" s="33"/>
    </row>
    <row r="14" spans="2:9">
      <c r="B14" s="1" t="s">
        <v>2</v>
      </c>
      <c r="C14" s="1" t="s">
        <v>3</v>
      </c>
      <c r="D14" s="34" t="s">
        <v>4</v>
      </c>
      <c r="E14" s="34"/>
      <c r="F14" s="30" t="s">
        <v>11</v>
      </c>
      <c r="G14" s="30"/>
      <c r="H14" s="30"/>
    </row>
    <row r="15" spans="2:9">
      <c r="B15" s="2">
        <v>45472</v>
      </c>
      <c r="C15" s="1" t="s">
        <v>14</v>
      </c>
      <c r="D15" s="26"/>
      <c r="E15" s="26"/>
      <c r="F15" s="27"/>
      <c r="G15" s="27"/>
      <c r="H15" s="27"/>
    </row>
    <row r="16" spans="2:9" ht="15.6">
      <c r="B16" s="3" t="s">
        <v>5</v>
      </c>
      <c r="C16" s="3" t="s">
        <v>9</v>
      </c>
      <c r="D16" s="28" t="s">
        <v>6</v>
      </c>
      <c r="E16" s="28"/>
      <c r="F16" s="28"/>
      <c r="G16" s="3" t="s">
        <v>7</v>
      </c>
      <c r="H16" s="3" t="s">
        <v>8</v>
      </c>
    </row>
    <row r="17" spans="2:8">
      <c r="B17" s="4">
        <v>1</v>
      </c>
      <c r="C17" s="4">
        <v>1</v>
      </c>
      <c r="D17" s="29" t="s">
        <v>19</v>
      </c>
      <c r="E17" s="25"/>
      <c r="F17" s="25"/>
      <c r="G17" s="5">
        <v>12000</v>
      </c>
      <c r="H17" s="8">
        <f>G17*B17*C17</f>
        <v>12000</v>
      </c>
    </row>
    <row r="18" spans="2:8">
      <c r="B18" s="4">
        <v>1</v>
      </c>
      <c r="C18" s="9">
        <v>1</v>
      </c>
      <c r="D18" s="35" t="s">
        <v>20</v>
      </c>
      <c r="E18" s="14"/>
      <c r="F18" s="14"/>
      <c r="G18" s="5">
        <v>6500</v>
      </c>
      <c r="H18" s="8">
        <f t="shared" ref="H18:H26" si="0">G18*B18*C18</f>
        <v>6500</v>
      </c>
    </row>
    <row r="19" spans="2:8">
      <c r="B19" s="4">
        <v>1</v>
      </c>
      <c r="C19" s="9">
        <v>1</v>
      </c>
      <c r="D19" s="35" t="s">
        <v>21</v>
      </c>
      <c r="E19" s="14"/>
      <c r="F19" s="14"/>
      <c r="G19" s="5">
        <v>2000</v>
      </c>
      <c r="H19" s="8">
        <f t="shared" si="0"/>
        <v>2000</v>
      </c>
    </row>
    <row r="20" spans="2:8">
      <c r="B20" s="4">
        <v>8</v>
      </c>
      <c r="C20" s="9">
        <v>1</v>
      </c>
      <c r="D20" s="35" t="s">
        <v>22</v>
      </c>
      <c r="E20" s="25"/>
      <c r="F20" s="25"/>
      <c r="G20" s="5">
        <v>0</v>
      </c>
      <c r="H20" s="8">
        <f t="shared" si="0"/>
        <v>0</v>
      </c>
    </row>
    <row r="21" spans="2:8">
      <c r="B21" s="4"/>
      <c r="C21" s="9"/>
      <c r="D21" s="36"/>
      <c r="E21" s="22"/>
      <c r="F21" s="22"/>
      <c r="G21" s="5"/>
      <c r="H21" s="8">
        <f t="shared" si="0"/>
        <v>0</v>
      </c>
    </row>
    <row r="22" spans="2:8">
      <c r="B22" s="4"/>
      <c r="C22" s="9"/>
      <c r="D22" s="36"/>
      <c r="E22" s="22"/>
      <c r="F22" s="22"/>
      <c r="G22" s="5"/>
      <c r="H22" s="8">
        <f t="shared" si="0"/>
        <v>0</v>
      </c>
    </row>
    <row r="23" spans="2:8">
      <c r="B23" s="4"/>
      <c r="C23" s="9"/>
      <c r="D23" s="37"/>
      <c r="E23" s="23"/>
      <c r="F23" s="24"/>
      <c r="G23" s="5"/>
      <c r="H23" s="8">
        <f t="shared" si="0"/>
        <v>0</v>
      </c>
    </row>
    <row r="24" spans="2:8">
      <c r="B24" s="4"/>
      <c r="C24" s="9"/>
      <c r="D24" s="17"/>
      <c r="E24" s="18"/>
      <c r="F24" s="19"/>
      <c r="G24" s="5"/>
      <c r="H24" s="8">
        <f t="shared" si="0"/>
        <v>0</v>
      </c>
    </row>
    <row r="25" spans="2:8">
      <c r="B25" s="4"/>
      <c r="C25" s="9"/>
      <c r="D25" s="17"/>
      <c r="E25" s="18"/>
      <c r="F25" s="19"/>
      <c r="G25" s="5"/>
      <c r="H25" s="8">
        <f t="shared" si="0"/>
        <v>0</v>
      </c>
    </row>
    <row r="26" spans="2:8">
      <c r="B26" s="4"/>
      <c r="C26" s="4"/>
      <c r="D26" s="20"/>
      <c r="E26" s="21"/>
      <c r="F26" s="21"/>
      <c r="G26" s="5"/>
      <c r="H26" s="8">
        <f t="shared" si="0"/>
        <v>0</v>
      </c>
    </row>
    <row r="27" spans="2:8">
      <c r="D27" s="15"/>
      <c r="E27" s="15"/>
      <c r="F27" s="15"/>
      <c r="G27" s="11" t="s">
        <v>10</v>
      </c>
      <c r="H27" s="6">
        <f>SUM(H17:H26)</f>
        <v>20500</v>
      </c>
    </row>
    <row r="28" spans="2:8">
      <c r="D28" s="16"/>
      <c r="E28" s="16"/>
      <c r="F28" s="16"/>
      <c r="G28" s="11" t="s">
        <v>16</v>
      </c>
      <c r="H28" s="12">
        <f>H27*0.15</f>
        <v>3075</v>
      </c>
    </row>
    <row r="29" spans="2:8">
      <c r="D29" s="16"/>
      <c r="E29" s="16"/>
      <c r="F29" s="16"/>
      <c r="G29" s="11" t="s">
        <v>17</v>
      </c>
      <c r="H29" s="13">
        <f>H27+H28</f>
        <v>23575</v>
      </c>
    </row>
    <row r="38" spans="2:8" ht="33" customHeight="1"/>
    <row r="40" spans="2:8" ht="46.2" customHeight="1"/>
    <row r="41" spans="2:8" ht="6" customHeight="1">
      <c r="B41" s="7"/>
      <c r="C41" s="7"/>
      <c r="D41" s="7"/>
      <c r="E41" s="7"/>
      <c r="F41" s="7"/>
      <c r="G41" s="7"/>
      <c r="H41" s="7"/>
    </row>
    <row r="45" spans="2:8" ht="25.2" customHeight="1"/>
    <row r="52" ht="21" customHeight="1"/>
    <row r="54" ht="1.95" customHeight="1"/>
    <row r="55" ht="7.95" customHeight="1"/>
    <row r="56" ht="16.05" customHeight="1"/>
    <row r="58" ht="6" customHeight="1"/>
    <row r="59" ht="9.75" customHeight="1"/>
  </sheetData>
  <mergeCells count="24">
    <mergeCell ref="D15:E15"/>
    <mergeCell ref="F15:H15"/>
    <mergeCell ref="D16:F16"/>
    <mergeCell ref="D17:F17"/>
    <mergeCell ref="B1:H1"/>
    <mergeCell ref="B12:C12"/>
    <mergeCell ref="B13:C13"/>
    <mergeCell ref="D13:G13"/>
    <mergeCell ref="D14:E14"/>
    <mergeCell ref="F14:H14"/>
    <mergeCell ref="D12:E12"/>
    <mergeCell ref="G12:H12"/>
    <mergeCell ref="D18:F18"/>
    <mergeCell ref="D27:F27"/>
    <mergeCell ref="D28:F28"/>
    <mergeCell ref="D29:F29"/>
    <mergeCell ref="D24:F24"/>
    <mergeCell ref="D25:F25"/>
    <mergeCell ref="D26:F26"/>
    <mergeCell ref="D22:F22"/>
    <mergeCell ref="D23:F23"/>
    <mergeCell ref="D19:F19"/>
    <mergeCell ref="D20:F20"/>
    <mergeCell ref="D21:F21"/>
  </mergeCells>
  <phoneticPr fontId="10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2024-06-25T01:22:22Z</cp:lastPrinted>
  <dcterms:created xsi:type="dcterms:W3CDTF">2022-10-19T19:05:00Z</dcterms:created>
  <dcterms:modified xsi:type="dcterms:W3CDTF">2024-06-29T18:10:11Z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