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242BFF81-BC26-4346-8490-F2ECFB6401A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H41" i="1"/>
  <c r="H31" i="1"/>
  <c r="H33" i="1"/>
  <c r="H34" i="1"/>
  <c r="H35" i="1"/>
  <c r="H36" i="1"/>
  <c r="H27" i="1"/>
  <c r="H28" i="1"/>
  <c r="H29" i="1"/>
  <c r="H30" i="1"/>
  <c r="H37" i="1"/>
  <c r="H38" i="1"/>
  <c r="H39" i="1"/>
  <c r="H43" i="1"/>
  <c r="H44" i="1"/>
  <c r="H19" i="1"/>
  <c r="H20" i="1"/>
  <c r="H21" i="1"/>
  <c r="H22" i="1"/>
  <c r="H23" i="1"/>
  <c r="H24" i="1"/>
  <c r="H25" i="1"/>
  <c r="H18" i="1"/>
  <c r="H17" i="1"/>
  <c r="H46" i="1" l="1"/>
  <c r="H47" i="1" s="1"/>
  <c r="H48" i="1" l="1"/>
</calcChain>
</file>

<file path=xl/sharedStrings.xml><?xml version="1.0" encoding="utf-8"?>
<sst xmlns="http://schemas.openxmlformats.org/spreadsheetml/2006/main" count="55" uniqueCount="54">
  <si>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</si>
  <si>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</si>
  <si>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</si>
  <si>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</si>
  <si>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</si>
  <si>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</si>
  <si>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</si>
  <si>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</si>
  <si>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</si>
  <si>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</si>
  <si>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</si>
  <si>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</si>
  <si>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</si>
  <si>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</si>
  <si>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</si>
  <si>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 xml:space="preserve">1 dia </t>
  </si>
  <si>
    <t>ISV</t>
  </si>
  <si>
    <t>SubTotal</t>
  </si>
  <si>
    <t xml:space="preserve">Fundacion Crisalida Internacional </t>
  </si>
  <si>
    <t xml:space="preserve">Parlantes Medios JBL PRX 825 </t>
  </si>
  <si>
    <t xml:space="preserve">Bajos Dobles JBL SRX </t>
  </si>
  <si>
    <t xml:space="preserve">Consola Digital </t>
  </si>
  <si>
    <t>Monitores de Piso Mackie thump 15A</t>
  </si>
  <si>
    <t>Microfonos Inalambricos shure SM58</t>
  </si>
  <si>
    <t xml:space="preserve">Microfonos de diadema Sengeiser </t>
  </si>
  <si>
    <t xml:space="preserve">Caja directa </t>
  </si>
  <si>
    <t xml:space="preserve">Video </t>
  </si>
  <si>
    <t xml:space="preserve">Pantalla led 3 x 2.5 </t>
  </si>
  <si>
    <t xml:space="preserve">Totem Led para laterales </t>
  </si>
  <si>
    <t xml:space="preserve">Laptop para video Dell </t>
  </si>
  <si>
    <t xml:space="preserve">Efectos Especiales </t>
  </si>
  <si>
    <t xml:space="preserve">Pirotecnias frias </t>
  </si>
  <si>
    <t xml:space="preserve">Maquinas de humo verticales </t>
  </si>
  <si>
    <t xml:space="preserve">Iluminacion </t>
  </si>
  <si>
    <t xml:space="preserve">Luces Roboticas </t>
  </si>
  <si>
    <t xml:space="preserve">Controlador de Luces digital </t>
  </si>
  <si>
    <t>Luces led RGB par 54 w</t>
  </si>
  <si>
    <t xml:space="preserve">Barras led para montaje </t>
  </si>
  <si>
    <t>Procesador de Video Nova  VX 600</t>
  </si>
  <si>
    <t xml:space="preserve">Microfono cuello de Ganzo </t>
  </si>
  <si>
    <t xml:space="preserve">Stands </t>
  </si>
  <si>
    <t xml:space="preserve">Tecnico de video </t>
  </si>
  <si>
    <t xml:space="preserve">Sonidista profesional </t>
  </si>
  <si>
    <t xml:space="preserve">Pantallas de 55 pulg en truss con licra negra </t>
  </si>
  <si>
    <t xml:space="preserve">DJ Profesional </t>
  </si>
  <si>
    <t>Podio de Acrilico con logo</t>
  </si>
  <si>
    <t xml:space="preserve">Eufemio Martinez </t>
  </si>
  <si>
    <t xml:space="preserve">Festival de Jovenes </t>
  </si>
  <si>
    <t>250  personas</t>
  </si>
  <si>
    <t>15 de Agosto 2025</t>
  </si>
  <si>
    <t>2025-210</t>
  </si>
  <si>
    <t>Tegucigalpa / H. Plaza Juan Carlos</t>
  </si>
  <si>
    <t xml:space="preserve">Audio Profesional </t>
  </si>
  <si>
    <t xml:space="preserve">Tarimas 3.75 x 3.75 en color blanco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</si>
</sst>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6" formatCode="&quot;L&quot;#,##0.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4" fillId="2" borderId="8" xfId="1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6" fillId="3" borderId="3" xfId="2" applyBorder="1" applyAlignment="1"/>
    <xf numFmtId="0" fontId="1" fillId="0" borderId="1" xfId="0" applyFont="1" applyBorder="1" applyAlignment="1">
      <alignment horizontal="left"/>
    </xf>
    <xf numFmtId="0" fontId="6" fillId="3" borderId="3" xfId="2" applyBorder="1" applyAlignment="1">
      <alignment horizontal="center" vertical="center"/>
    </xf>
    <xf numFmtId="0" fontId="0" fillId="3" borderId="5" xfId="2" applyFont="1" applyBorder="1" applyAlignment="1">
      <alignment horizontal="center"/>
    </xf>
    <xf numFmtId="166" fontId="6" fillId="3" borderId="3" xfId="2" applyNumberFormat="1" applyBorder="1" applyAlignment="1"/>
    <xf numFmtId="44" fontId="6" fillId="3" borderId="3" xfId="2" applyNumberFormat="1" applyBorder="1" applyAlignment="1"/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3" borderId="5" xfId="2" applyFont="1" applyBorder="1" applyAlignment="1">
      <alignment horizontal="left" vertical="top"/>
    </xf>
    <xf numFmtId="0" fontId="6" fillId="3" borderId="6" xfId="2" applyBorder="1" applyAlignment="1">
      <alignment horizontal="left" vertical="top"/>
    </xf>
    <xf numFmtId="0" fontId="6" fillId="3" borderId="4" xfId="2" applyBorder="1" applyAlignment="1">
      <alignment horizontal="left" vertical="top"/>
    </xf>
    <xf numFmtId="0" fontId="0" fillId="3" borderId="5" xfId="2" applyFont="1" applyBorder="1" applyAlignment="1">
      <alignment vertical="center"/>
    </xf>
    <xf numFmtId="0" fontId="6" fillId="3" borderId="6" xfId="2" applyBorder="1" applyAlignment="1">
      <alignment vertical="center"/>
    </xf>
    <xf numFmtId="0" fontId="6" fillId="3" borderId="4" xfId="2" applyBorder="1" applyAlignment="1">
      <alignment vertical="center"/>
    </xf>
    <xf numFmtId="44" fontId="6" fillId="3" borderId="3" xfId="3" applyFill="1" applyBorder="1" applyAlignment="1"/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0" fillId="3" borderId="6" xfId="2" applyFont="1" applyBorder="1" applyAlignment="1">
      <alignment horizontal="left" vertical="top"/>
    </xf>
    <xf numFmtId="0" fontId="0" fillId="3" borderId="4" xfId="2" applyFont="1" applyBorder="1" applyAlignment="1">
      <alignment horizontal="left" vertical="top"/>
    </xf>
    <xf numFmtId="0" fontId="10" fillId="3" borderId="5" xfId="2" applyFont="1" applyBorder="1" applyAlignment="1">
      <alignment horizontal="center"/>
    </xf>
    <xf numFmtId="0" fontId="10" fillId="3" borderId="6" xfId="2" applyFont="1" applyBorder="1" applyAlignment="1">
      <alignment horizontal="center"/>
    </xf>
    <xf numFmtId="0" fontId="10" fillId="3" borderId="4" xfId="2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3" borderId="5" xfId="2" applyFont="1" applyBorder="1" applyAlignment="1">
      <alignment horizontal="left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51</xdr:row>
      <xdr:rowOff>83925</xdr:rowOff>
    </xdr:from>
    <xdr:to>
      <xdr:col>1</xdr:col>
      <xdr:colOff>113617</xdr:colOff>
      <xdr:row>53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9512785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7121</xdr:colOff>
      <xdr:row>0</xdr:row>
      <xdr:rowOff>55739</xdr:rowOff>
    </xdr:from>
    <xdr:to>
      <xdr:col>8</xdr:col>
      <xdr:colOff>16006</xdr:colOff>
      <xdr:row>7</xdr:row>
      <xdr:rowOff>94510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121" y="55739"/>
          <a:ext cx="7123259" cy="1334883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49</xdr:row>
      <xdr:rowOff>71215</xdr:rowOff>
    </xdr:from>
    <xdr:to>
      <xdr:col>7</xdr:col>
      <xdr:colOff>847459</xdr:colOff>
      <xdr:row>56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9129757"/>
          <a:ext cx="6900452" cy="2741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54</xdr:row>
      <xdr:rowOff>1228103</xdr:rowOff>
    </xdr:from>
    <xdr:to>
      <xdr:col>4</xdr:col>
      <xdr:colOff>182839</xdr:colOff>
      <xdr:row>60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54</xdr:row>
      <xdr:rowOff>1253501</xdr:rowOff>
    </xdr:from>
    <xdr:to>
      <xdr:col>8</xdr:col>
      <xdr:colOff>52800</xdr:colOff>
      <xdr:row>61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54</xdr:row>
      <xdr:rowOff>185161</xdr:rowOff>
    </xdr:from>
    <xdr:to>
      <xdr:col>4</xdr:col>
      <xdr:colOff>1032164</xdr:colOff>
      <xdr:row>56</xdr:row>
      <xdr:rowOff>249254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54656"/>
          <a:ext cx="3531809" cy="1858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74"/>
  <sheetViews>
    <sheetView tabSelected="1" view="pageLayout" topLeftCell="A4" zoomScale="107" zoomScaleNormal="62" zoomScaleSheetLayoutView="112" zoomScalePageLayoutView="107" workbookViewId="0">
      <selection activeCell="H6" sqref="H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20.77734375" customWidth="1"/>
    <col min="7" max="7" width="14.109375" customWidth="1"/>
    <col min="8" max="8" width="12.77734375" customWidth="1"/>
    <col min="9" max="9" width="9.21875" customWidth="1"/>
  </cols>
  <sheetData>
    <row r="5" spans="2:9">
      <c r="H5" s="5" t="s">
        <v>11</v>
      </c>
      <c r="I5" s="1"/>
    </row>
    <row r="6" spans="2:9">
      <c r="H6" s="22" t="s">
        <v>50</v>
      </c>
    </row>
    <row r="11" spans="2:9" ht="12.6" customHeight="1">
      <c r="B11" s="16" t="s">
        <v>13</v>
      </c>
      <c r="C11" s="16"/>
      <c r="D11" s="25" t="s">
        <v>18</v>
      </c>
      <c r="E11" s="18"/>
      <c r="F11" t="s">
        <v>10</v>
      </c>
      <c r="G11" s="46" t="s">
        <v>46</v>
      </c>
      <c r="H11" s="11"/>
    </row>
    <row r="12" spans="2:9" ht="14.4" customHeight="1">
      <c r="B12" s="16" t="s">
        <v>0</v>
      </c>
      <c r="C12" s="16"/>
      <c r="D12" s="47" t="s">
        <v>51</v>
      </c>
      <c r="E12" s="20"/>
      <c r="F12" s="1" t="s">
        <v>14</v>
      </c>
      <c r="G12" s="19">
        <v>8019013595904</v>
      </c>
      <c r="H12" s="19"/>
    </row>
    <row r="13" spans="2:9">
      <c r="B13" s="1" t="s">
        <v>1</v>
      </c>
      <c r="C13" s="1" t="s">
        <v>2</v>
      </c>
      <c r="D13" s="17" t="s">
        <v>3</v>
      </c>
      <c r="E13" s="17"/>
      <c r="F13" s="15" t="s">
        <v>9</v>
      </c>
      <c r="G13" s="15"/>
      <c r="H13" s="1" t="s">
        <v>12</v>
      </c>
    </row>
    <row r="14" spans="2:9">
      <c r="B14" s="2">
        <v>45489</v>
      </c>
      <c r="C14" s="1" t="s">
        <v>15</v>
      </c>
      <c r="D14" s="49" t="s">
        <v>49</v>
      </c>
      <c r="E14" s="10"/>
      <c r="F14" s="46" t="s">
        <v>47</v>
      </c>
      <c r="G14" s="11"/>
      <c r="H14" s="48" t="s">
        <v>48</v>
      </c>
    </row>
    <row r="15" spans="2:9" ht="15.6">
      <c r="B15" s="9" t="s">
        <v>4</v>
      </c>
      <c r="C15" s="9" t="s">
        <v>8</v>
      </c>
      <c r="D15" s="23" t="s">
        <v>5</v>
      </c>
      <c r="E15" s="23"/>
      <c r="F15" s="23"/>
      <c r="G15" s="9" t="s">
        <v>6</v>
      </c>
      <c r="H15" s="9" t="s">
        <v>7</v>
      </c>
    </row>
    <row r="16" spans="2:9">
      <c r="B16" s="3"/>
      <c r="C16" s="26"/>
      <c r="D16" s="43" t="s">
        <v>52</v>
      </c>
      <c r="E16" s="44"/>
      <c r="F16" s="45"/>
      <c r="G16" s="24"/>
      <c r="H16" s="24"/>
    </row>
    <row r="17" spans="2:8">
      <c r="B17" s="3">
        <v>2</v>
      </c>
      <c r="C17" s="26">
        <v>1</v>
      </c>
      <c r="D17" s="12" t="s">
        <v>19</v>
      </c>
      <c r="E17" s="30"/>
      <c r="F17" s="31"/>
      <c r="G17" s="29">
        <v>3000</v>
      </c>
      <c r="H17" s="28">
        <f>G17*B17*C17</f>
        <v>6000</v>
      </c>
    </row>
    <row r="18" spans="2:8">
      <c r="B18" s="3">
        <v>2</v>
      </c>
      <c r="C18" s="26">
        <v>1</v>
      </c>
      <c r="D18" s="12" t="s">
        <v>20</v>
      </c>
      <c r="E18" s="30"/>
      <c r="F18" s="31"/>
      <c r="G18" s="29">
        <v>3000</v>
      </c>
      <c r="H18" s="28">
        <f>G18*B18*C18</f>
        <v>6000</v>
      </c>
    </row>
    <row r="19" spans="2:8">
      <c r="B19" s="3">
        <v>1</v>
      </c>
      <c r="C19" s="26">
        <v>1</v>
      </c>
      <c r="D19" s="32" t="s">
        <v>21</v>
      </c>
      <c r="E19" s="33"/>
      <c r="F19" s="34"/>
      <c r="G19" s="29">
        <v>3500</v>
      </c>
      <c r="H19" s="28">
        <f t="shared" ref="H19:H44" si="0">G19*B19*C19</f>
        <v>3500</v>
      </c>
    </row>
    <row r="20" spans="2:8">
      <c r="B20" s="3">
        <v>2</v>
      </c>
      <c r="C20" s="3">
        <v>1</v>
      </c>
      <c r="D20" s="12" t="s">
        <v>22</v>
      </c>
      <c r="E20" s="30"/>
      <c r="F20" s="31"/>
      <c r="G20" s="29">
        <v>1000</v>
      </c>
      <c r="H20" s="28">
        <f t="shared" si="0"/>
        <v>2000</v>
      </c>
    </row>
    <row r="21" spans="2:8">
      <c r="B21" s="26">
        <v>6</v>
      </c>
      <c r="C21" s="26">
        <v>1</v>
      </c>
      <c r="D21" s="35" t="s">
        <v>23</v>
      </c>
      <c r="E21" s="36"/>
      <c r="F21" s="37"/>
      <c r="G21" s="29">
        <v>800</v>
      </c>
      <c r="H21" s="28">
        <f t="shared" si="0"/>
        <v>4800</v>
      </c>
    </row>
    <row r="22" spans="2:8">
      <c r="B22" s="3">
        <v>2</v>
      </c>
      <c r="C22" s="3">
        <v>1</v>
      </c>
      <c r="D22" s="12" t="s">
        <v>24</v>
      </c>
      <c r="E22" s="30"/>
      <c r="F22" s="31"/>
      <c r="G22" s="29">
        <v>800</v>
      </c>
      <c r="H22" s="28">
        <f t="shared" si="0"/>
        <v>1600</v>
      </c>
    </row>
    <row r="23" spans="2:8">
      <c r="B23" s="3">
        <v>1</v>
      </c>
      <c r="C23" s="3">
        <v>1</v>
      </c>
      <c r="D23" s="12" t="s">
        <v>25</v>
      </c>
      <c r="E23" s="30"/>
      <c r="F23" s="31"/>
      <c r="G23" s="29">
        <v>350</v>
      </c>
      <c r="H23" s="28">
        <f t="shared" si="0"/>
        <v>350</v>
      </c>
    </row>
    <row r="24" spans="2:8">
      <c r="B24" s="3">
        <v>1</v>
      </c>
      <c r="C24" s="3">
        <v>1</v>
      </c>
      <c r="D24" s="12" t="s">
        <v>39</v>
      </c>
      <c r="E24" s="30"/>
      <c r="F24" s="31"/>
      <c r="G24" s="29">
        <v>1500</v>
      </c>
      <c r="H24" s="28">
        <f t="shared" si="0"/>
        <v>1500</v>
      </c>
    </row>
    <row r="25" spans="2:8">
      <c r="B25" s="3">
        <v>1</v>
      </c>
      <c r="C25" s="3">
        <v>1</v>
      </c>
      <c r="D25" s="12" t="s">
        <v>42</v>
      </c>
      <c r="E25" s="30"/>
      <c r="F25" s="31"/>
      <c r="G25" s="29">
        <v>2000</v>
      </c>
      <c r="H25" s="28">
        <f t="shared" si="0"/>
        <v>2000</v>
      </c>
    </row>
    <row r="26" spans="2:8">
      <c r="B26" s="24"/>
      <c r="C26" s="24"/>
      <c r="D26" s="43" t="s">
        <v>26</v>
      </c>
      <c r="E26" s="44"/>
      <c r="F26" s="45"/>
      <c r="G26" s="29"/>
      <c r="H26" s="28"/>
    </row>
    <row r="27" spans="2:8">
      <c r="B27" s="3">
        <v>1</v>
      </c>
      <c r="C27" s="3">
        <v>1</v>
      </c>
      <c r="D27" s="12" t="s">
        <v>27</v>
      </c>
      <c r="E27" s="30"/>
      <c r="F27" s="31"/>
      <c r="G27" s="29">
        <v>16000</v>
      </c>
      <c r="H27" s="28">
        <f t="shared" si="0"/>
        <v>16000</v>
      </c>
    </row>
    <row r="28" spans="2:8">
      <c r="B28" s="3">
        <v>2</v>
      </c>
      <c r="C28" s="3">
        <v>1</v>
      </c>
      <c r="D28" s="12" t="s">
        <v>28</v>
      </c>
      <c r="E28" s="30"/>
      <c r="F28" s="31"/>
      <c r="G28" s="38">
        <v>4000</v>
      </c>
      <c r="H28" s="28">
        <f t="shared" si="0"/>
        <v>8000</v>
      </c>
    </row>
    <row r="29" spans="2:8">
      <c r="B29" s="3">
        <v>1</v>
      </c>
      <c r="C29" s="3">
        <v>1</v>
      </c>
      <c r="D29" s="12" t="s">
        <v>38</v>
      </c>
      <c r="E29" s="30"/>
      <c r="F29" s="31"/>
      <c r="G29" s="29">
        <v>2500</v>
      </c>
      <c r="H29" s="28">
        <f t="shared" si="0"/>
        <v>2500</v>
      </c>
    </row>
    <row r="30" spans="2:8">
      <c r="B30" s="3">
        <v>1</v>
      </c>
      <c r="C30" s="3">
        <v>1</v>
      </c>
      <c r="D30" s="12" t="s">
        <v>29</v>
      </c>
      <c r="E30" s="30"/>
      <c r="F30" s="31"/>
      <c r="G30" s="29">
        <v>1000</v>
      </c>
      <c r="H30" s="28">
        <f t="shared" si="0"/>
        <v>1000</v>
      </c>
    </row>
    <row r="31" spans="2:8">
      <c r="B31" s="3">
        <v>1</v>
      </c>
      <c r="C31" s="3">
        <v>1</v>
      </c>
      <c r="D31" s="12" t="s">
        <v>41</v>
      </c>
      <c r="E31" s="13"/>
      <c r="F31" s="14"/>
      <c r="G31" s="29">
        <v>2000</v>
      </c>
      <c r="H31" s="28">
        <f t="shared" si="0"/>
        <v>2000</v>
      </c>
    </row>
    <row r="32" spans="2:8">
      <c r="B32" s="3"/>
      <c r="C32" s="3"/>
      <c r="D32" s="43" t="s">
        <v>33</v>
      </c>
      <c r="E32" s="44"/>
      <c r="F32" s="45"/>
      <c r="G32" s="29"/>
      <c r="H32" s="28"/>
    </row>
    <row r="33" spans="2:8">
      <c r="B33" s="3">
        <v>8</v>
      </c>
      <c r="C33" s="3">
        <v>1</v>
      </c>
      <c r="D33" s="12" t="s">
        <v>34</v>
      </c>
      <c r="E33" s="13"/>
      <c r="F33" s="14"/>
      <c r="G33" s="29">
        <v>1000</v>
      </c>
      <c r="H33" s="28">
        <f t="shared" si="0"/>
        <v>8000</v>
      </c>
    </row>
    <row r="34" spans="2:8">
      <c r="B34" s="3">
        <v>1</v>
      </c>
      <c r="C34" s="3">
        <v>1</v>
      </c>
      <c r="D34" s="12" t="s">
        <v>35</v>
      </c>
      <c r="E34" s="13"/>
      <c r="F34" s="14"/>
      <c r="G34" s="29">
        <v>2000</v>
      </c>
      <c r="H34" s="28">
        <f t="shared" si="0"/>
        <v>2000</v>
      </c>
    </row>
    <row r="35" spans="2:8">
      <c r="B35" s="3">
        <v>16</v>
      </c>
      <c r="C35" s="3">
        <v>1</v>
      </c>
      <c r="D35" s="12" t="s">
        <v>36</v>
      </c>
      <c r="E35" s="13"/>
      <c r="F35" s="14"/>
      <c r="G35" s="29">
        <v>350</v>
      </c>
      <c r="H35" s="28">
        <f t="shared" si="0"/>
        <v>5600</v>
      </c>
    </row>
    <row r="36" spans="2:8">
      <c r="B36" s="3">
        <v>6</v>
      </c>
      <c r="C36" s="3">
        <v>1</v>
      </c>
      <c r="D36" s="12" t="s">
        <v>37</v>
      </c>
      <c r="E36" s="13"/>
      <c r="F36" s="14"/>
      <c r="G36" s="29">
        <v>1000</v>
      </c>
      <c r="H36" s="28">
        <f t="shared" si="0"/>
        <v>6000</v>
      </c>
    </row>
    <row r="37" spans="2:8">
      <c r="B37" s="3"/>
      <c r="C37" s="3"/>
      <c r="D37" s="43" t="s">
        <v>30</v>
      </c>
      <c r="E37" s="44"/>
      <c r="F37" s="45"/>
      <c r="G37" s="29"/>
      <c r="H37" s="28">
        <f t="shared" si="0"/>
        <v>0</v>
      </c>
    </row>
    <row r="38" spans="2:8">
      <c r="B38" s="3">
        <v>4</v>
      </c>
      <c r="C38" s="3">
        <v>1</v>
      </c>
      <c r="D38" s="12" t="s">
        <v>31</v>
      </c>
      <c r="E38" s="30"/>
      <c r="F38" s="31"/>
      <c r="G38" s="29">
        <v>2500</v>
      </c>
      <c r="H38" s="28">
        <f t="shared" si="0"/>
        <v>10000</v>
      </c>
    </row>
    <row r="39" spans="2:8">
      <c r="B39" s="3">
        <v>2</v>
      </c>
      <c r="C39" s="3">
        <v>1</v>
      </c>
      <c r="D39" s="12" t="s">
        <v>32</v>
      </c>
      <c r="E39" s="30"/>
      <c r="F39" s="31"/>
      <c r="G39" s="29">
        <v>1000</v>
      </c>
      <c r="H39" s="28">
        <f t="shared" si="0"/>
        <v>2000</v>
      </c>
    </row>
    <row r="40" spans="2:8">
      <c r="B40" s="3">
        <v>1</v>
      </c>
      <c r="C40" s="3">
        <v>1</v>
      </c>
      <c r="D40" s="32" t="s">
        <v>45</v>
      </c>
      <c r="E40" s="41"/>
      <c r="F40" s="42"/>
      <c r="G40" s="29">
        <v>2000</v>
      </c>
      <c r="H40" s="28">
        <f t="shared" si="0"/>
        <v>2000</v>
      </c>
    </row>
    <row r="41" spans="2:8">
      <c r="B41" s="3">
        <v>1</v>
      </c>
      <c r="C41" s="3">
        <v>1</v>
      </c>
      <c r="D41" s="12" t="s">
        <v>44</v>
      </c>
      <c r="E41" s="13"/>
      <c r="F41" s="14"/>
      <c r="G41" s="29">
        <v>2500</v>
      </c>
      <c r="H41" s="28">
        <f t="shared" si="0"/>
        <v>2500</v>
      </c>
    </row>
    <row r="42" spans="2:8">
      <c r="B42" s="24"/>
      <c r="C42" s="24"/>
      <c r="D42" s="43" t="s">
        <v>40</v>
      </c>
      <c r="E42" s="44"/>
      <c r="F42" s="45"/>
      <c r="G42" s="29"/>
      <c r="H42" s="28"/>
    </row>
    <row r="43" spans="2:8">
      <c r="B43" s="3">
        <v>8</v>
      </c>
      <c r="C43" s="3">
        <v>1</v>
      </c>
      <c r="D43" s="12" t="s">
        <v>43</v>
      </c>
      <c r="E43" s="13"/>
      <c r="F43" s="14"/>
      <c r="G43" s="29">
        <v>2000</v>
      </c>
      <c r="H43" s="28">
        <f t="shared" si="0"/>
        <v>16000</v>
      </c>
    </row>
    <row r="44" spans="2:8">
      <c r="B44" s="3">
        <v>8</v>
      </c>
      <c r="C44" s="3">
        <v>1</v>
      </c>
      <c r="D44" s="50" t="s">
        <v>53</v>
      </c>
      <c r="E44" s="13"/>
      <c r="F44" s="14"/>
      <c r="G44" s="29">
        <v>4000</v>
      </c>
      <c r="H44" s="28">
        <f t="shared" si="0"/>
        <v>32000</v>
      </c>
    </row>
    <row r="45" spans="2:8">
      <c r="B45" s="24"/>
      <c r="C45" s="24"/>
      <c r="D45" s="27"/>
      <c r="E45" s="39"/>
      <c r="F45" s="40"/>
      <c r="G45" s="29"/>
      <c r="H45" s="28"/>
    </row>
    <row r="46" spans="2:8">
      <c r="D46" s="21"/>
      <c r="E46" s="21"/>
      <c r="F46" s="21"/>
      <c r="G46" s="6" t="s">
        <v>17</v>
      </c>
      <c r="H46" s="7">
        <f>SUM(H16:H45)</f>
        <v>143350</v>
      </c>
    </row>
    <row r="47" spans="2:8">
      <c r="G47" s="6" t="s">
        <v>16</v>
      </c>
      <c r="H47" s="8">
        <f>H46*0.15</f>
        <v>21502.5</v>
      </c>
    </row>
    <row r="48" spans="2:8">
      <c r="G48" s="6" t="s">
        <v>7</v>
      </c>
      <c r="H48" s="8">
        <f>H46+H47</f>
        <v>164852.5</v>
      </c>
    </row>
    <row r="55" spans="2:8" ht="126.6" customHeight="1"/>
    <row r="57" spans="2:8" ht="27.6" customHeight="1"/>
    <row r="58" spans="2:8" ht="5.4" customHeight="1">
      <c r="B58" s="4"/>
      <c r="C58" s="4"/>
      <c r="D58" s="4"/>
      <c r="E58" s="4"/>
      <c r="F58" s="4"/>
      <c r="G58" s="4"/>
      <c r="H58" s="4"/>
    </row>
    <row r="60" spans="2:8" ht="25.2" customHeight="1"/>
    <row r="67" ht="21" customHeight="1"/>
    <row r="69" ht="1.95" customHeight="1"/>
    <row r="70" ht="7.95" customHeight="1"/>
    <row r="71" ht="16.05" customHeight="1"/>
    <row r="73" ht="6" customHeight="1"/>
    <row r="74" ht="9.75" customHeight="1"/>
  </sheetData>
  <mergeCells count="42">
    <mergeCell ref="D45:F45"/>
    <mergeCell ref="D33:F33"/>
    <mergeCell ref="D32:F32"/>
    <mergeCell ref="D31:F31"/>
    <mergeCell ref="D40:F40"/>
    <mergeCell ref="D41:F41"/>
    <mergeCell ref="D42:F42"/>
    <mergeCell ref="D38:F38"/>
    <mergeCell ref="D39:F39"/>
    <mergeCell ref="D43:F43"/>
    <mergeCell ref="D44:F44"/>
    <mergeCell ref="D30:F30"/>
    <mergeCell ref="D34:F34"/>
    <mergeCell ref="D35:F35"/>
    <mergeCell ref="D36:F36"/>
    <mergeCell ref="D37:F37"/>
    <mergeCell ref="D26:F26"/>
    <mergeCell ref="D27:F27"/>
    <mergeCell ref="D28:F28"/>
    <mergeCell ref="D29:F29"/>
    <mergeCell ref="D25:F25"/>
    <mergeCell ref="D23:F23"/>
    <mergeCell ref="D24:F24"/>
    <mergeCell ref="D20:F20"/>
    <mergeCell ref="D21:F21"/>
    <mergeCell ref="D22:F22"/>
    <mergeCell ref="D16:F16"/>
    <mergeCell ref="D17:F17"/>
    <mergeCell ref="D18:F18"/>
    <mergeCell ref="D19:F19"/>
    <mergeCell ref="D46:F46"/>
    <mergeCell ref="B11:C11"/>
    <mergeCell ref="B12:C12"/>
    <mergeCell ref="D13:E13"/>
    <mergeCell ref="D11:E11"/>
    <mergeCell ref="G11:H11"/>
    <mergeCell ref="F13:G13"/>
    <mergeCell ref="G12:H12"/>
    <mergeCell ref="D12:E12"/>
    <mergeCell ref="D14:E14"/>
    <mergeCell ref="D15:F15"/>
    <mergeCell ref="F14:G14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2025-07-16T05:54:10Z</cp:lastPrinted>
  <dcterms:created xsi:type="dcterms:W3CDTF">2022-10-19T19:05:00Z</dcterms:created>
  <dcterms:modified xsi:type="dcterms:W3CDTF">2025-07-17T00:18:02Z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