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8_{06698546-FE78-4C2D-B3A1-6744EF7C6361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9" i="1" l="1"/>
  <c r="H20" i="1"/>
  <c r="H21" i="1"/>
  <c r="H22" i="1"/>
  <c r="H23" i="1"/>
  <c r="H24" i="1"/>
  <c r="H25" i="1"/>
  <c r="H26" i="1"/>
  <c r="H27" i="1"/>
  <c r="H28" i="1"/>
  <c r="H29" i="1"/>
  <c r="G17" i="1"/>
  <c r="H17" i="1" s="1"/>
  <c r="H18" i="1"/>
  <c r="H30" i="1" l="1"/>
  <c r="H32" i="1" s="1"/>
</calcChain>
</file>

<file path=xl/sharedStrings.xml><?xml version="1.0" encoding="utf-8"?>
<sst xmlns="http://schemas.openxmlformats.org/spreadsheetml/2006/main" count="36" uniqueCount="35">
  <si>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</si>
  <si>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</si>
  <si>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</si>
  <si>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</si>
  <si>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</si>
  <si>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</si>
  <si>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</si>
  <si>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</si>
  <si>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</si>
  <si>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</si>
  <si>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</si>
  <si>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</si>
  <si>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</si>
  <si>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N° Invitados </t>
  </si>
  <si>
    <t xml:space="preserve">Cliente </t>
  </si>
  <si>
    <t>ISV 15 %</t>
  </si>
  <si>
    <t>Pantalla Led 13x4</t>
  </si>
  <si>
    <t>Tarima Blanca 13.75 x 5 mts ancho a 0.50 alto</t>
  </si>
  <si>
    <t xml:space="preserve">Podium de acrilico con pantalla led </t>
  </si>
  <si>
    <t>Pantallas de 55"</t>
  </si>
  <si>
    <t xml:space="preserve">Sistema de audio </t>
  </si>
  <si>
    <t>Microfono shure de Ganzo</t>
  </si>
  <si>
    <t>Microfonos inalambricos Shure sm58</t>
  </si>
  <si>
    <t>Procesadores de video</t>
  </si>
  <si>
    <t>Iluminacion para escenario y salon</t>
  </si>
  <si>
    <t>Tarimas para medios</t>
  </si>
  <si>
    <t>Montaje y desmontaje</t>
  </si>
  <si>
    <t>Tecnicos de Audio, Iluminacion y Pantalla</t>
  </si>
  <si>
    <t>Lic.Tania Ulloa</t>
  </si>
  <si>
    <t>Personal de Staff</t>
  </si>
  <si>
    <t>2025-082</t>
  </si>
  <si>
    <t>13,14,15 de Marzo 2025</t>
  </si>
  <si>
    <t>Conferencia</t>
  </si>
  <si>
    <t>Camara de Comercio Industrias de Cortes</t>
  </si>
  <si>
    <t>FUNDAHRSE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</si>
</sst>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L-480A]* #,##0.00_-;\-[$L-480A]* #,##0.00_-;_-[$L-480A]* &quot;-&quot;??_-;_-@_-"/>
  </numFmts>
  <fonts count="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</borders>
  <cellStyleXfs count="3">
    <xf numFmtId="0" fontId="0" fillId="0" borderId="0"/>
    <xf numFmtId="0" fontId="4" fillId="4" borderId="0" applyNumberFormat="0" applyBorder="0" applyAlignment="0" applyProtection="0"/>
    <xf numFmtId="0" fontId="5" fillId="3" borderId="0" applyNumberFormat="0" applyBorder="0" applyAlignment="0" applyProtection="0"/>
  </cellStyleXfs>
  <cellXfs count="34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3" fillId="2" borderId="3" xfId="1" applyFont="1" applyFill="1" applyBorder="1" applyAlignment="1">
      <alignment horizontal="center"/>
    </xf>
    <xf numFmtId="0" fontId="5" fillId="3" borderId="3" xfId="2" applyBorder="1" applyAlignment="1">
      <alignment horizontal="center"/>
    </xf>
    <xf numFmtId="0" fontId="0" fillId="2" borderId="0" xfId="0" applyFill="1" applyAlignment="1">
      <alignment horizontal="center"/>
    </xf>
    <xf numFmtId="164" fontId="5" fillId="3" borderId="3" xfId="2" applyNumberFormat="1" applyBorder="1" applyAlignment="1">
      <alignment vertical="center"/>
    </xf>
    <xf numFmtId="0" fontId="0" fillId="3" borderId="3" xfId="2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5" borderId="7" xfId="0" applyFont="1" applyFill="1" applyBorder="1" applyAlignment="1">
      <alignment horizontal="center"/>
    </xf>
    <xf numFmtId="164" fontId="5" fillId="3" borderId="3" xfId="2" applyNumberFormat="1" applyBorder="1" applyAlignment="1"/>
    <xf numFmtId="0" fontId="7" fillId="2" borderId="3" xfId="2" applyFont="1" applyFill="1" applyBorder="1" applyAlignment="1">
      <alignment horizontal="center"/>
    </xf>
    <xf numFmtId="164" fontId="7" fillId="2" borderId="3" xfId="2" applyNumberFormat="1" applyFont="1" applyFill="1" applyBorder="1"/>
    <xf numFmtId="164" fontId="8" fillId="2" borderId="3" xfId="0" applyNumberFormat="1" applyFont="1" applyFill="1" applyBorder="1"/>
    <xf numFmtId="164" fontId="0" fillId="3" borderId="3" xfId="2" applyNumberFormat="1" applyFont="1" applyBorder="1" applyAlignment="1"/>
    <xf numFmtId="164" fontId="5" fillId="3" borderId="3" xfId="2" applyNumberFormat="1" applyBorder="1" applyAlignment="1">
      <alignment horizontal="center"/>
    </xf>
    <xf numFmtId="0" fontId="0" fillId="3" borderId="6" xfId="2" applyFont="1" applyBorder="1" applyAlignment="1">
      <alignment horizontal="left"/>
    </xf>
    <xf numFmtId="0" fontId="0" fillId="3" borderId="4" xfId="2" applyFont="1" applyBorder="1" applyAlignment="1">
      <alignment horizontal="left"/>
    </xf>
    <xf numFmtId="14" fontId="0" fillId="0" borderId="2" xfId="0" applyNumberFormat="1" applyBorder="1" applyAlignment="1">
      <alignment horizontal="center"/>
    </xf>
    <xf numFmtId="0" fontId="3" fillId="2" borderId="3" xfId="1" applyFont="1" applyFill="1" applyBorder="1" applyAlignment="1">
      <alignment horizontal="center"/>
    </xf>
    <xf numFmtId="0" fontId="0" fillId="3" borderId="3" xfId="2" applyFont="1" applyBorder="1" applyAlignment="1">
      <alignment horizontal="left"/>
    </xf>
    <xf numFmtId="0" fontId="5" fillId="3" borderId="3" xfId="2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3" borderId="5" xfId="2" applyFont="1" applyBorder="1" applyAlignment="1">
      <alignment horizontal="left"/>
    </xf>
    <xf numFmtId="0" fontId="0" fillId="0" borderId="2" xfId="0" applyBorder="1"/>
    <xf numFmtId="0" fontId="1" fillId="0" borderId="7" xfId="0" applyFont="1" applyBorder="1" applyAlignment="1">
      <alignment horizontal="center"/>
    </xf>
    <xf numFmtId="0" fontId="1" fillId="3" borderId="5" xfId="2" applyFont="1" applyBorder="1" applyAlignment="1">
      <alignment horizontal="left"/>
    </xf>
    <xf numFmtId="14" fontId="1" fillId="0" borderId="2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</cellXfs>
  <cellStyles count="3">
    <cellStyle name="20% - Énfasis2" xfId="2" builtinId="34"/>
    <cellStyle name="Énfasis2" xfId="1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35</xdr:row>
      <xdr:rowOff>83925</xdr:rowOff>
    </xdr:from>
    <xdr:to>
      <xdr:col>1</xdr:col>
      <xdr:colOff>113617</xdr:colOff>
      <xdr:row>37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12580" y="6288782"/>
          <a:ext cx="50716" cy="319665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1267"/>
          <a:ext cx="6913475" cy="1277021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940037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79923" y="1535186"/>
          <a:ext cx="6478675" cy="4871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127000</xdr:colOff>
      <xdr:row>29</xdr:row>
      <xdr:rowOff>151308</xdr:rowOff>
    </xdr:from>
    <xdr:to>
      <xdr:col>8</xdr:col>
      <xdr:colOff>45268</xdr:colOff>
      <xdr:row>40</xdr:row>
      <xdr:rowOff>14708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127000" y="5412737"/>
          <a:ext cx="6993982" cy="2466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120971</xdr:colOff>
      <xdr:row>38</xdr:row>
      <xdr:rowOff>601411</xdr:rowOff>
    </xdr:from>
    <xdr:to>
      <xdr:col>4</xdr:col>
      <xdr:colOff>168596</xdr:colOff>
      <xdr:row>40</xdr:row>
      <xdr:rowOff>320468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70522" y="7808364"/>
          <a:ext cx="2397719" cy="6947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838800</xdr:colOff>
      <xdr:row>38</xdr:row>
      <xdr:rowOff>612567</xdr:rowOff>
    </xdr:from>
    <xdr:to>
      <xdr:col>7</xdr:col>
      <xdr:colOff>991200</xdr:colOff>
      <xdr:row>42</xdr:row>
      <xdr:rowOff>147949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338445" y="7819520"/>
          <a:ext cx="3371316" cy="9311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  <xdr:twoCellAnchor editAs="oneCell">
    <xdr:from>
      <xdr:col>0</xdr:col>
      <xdr:colOff>0</xdr:colOff>
      <xdr:row>35</xdr:row>
      <xdr:rowOff>149553</xdr:rowOff>
    </xdr:from>
    <xdr:to>
      <xdr:col>4</xdr:col>
      <xdr:colOff>628779</xdr:colOff>
      <xdr:row>42</xdr:row>
      <xdr:rowOff>56973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F9472244-BEF2-EE99-A4E2-D48DAA2AB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801030"/>
          <a:ext cx="3128424" cy="18587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8"/>
  <sheetViews>
    <sheetView tabSelected="1" view="pageLayout" zoomScale="56" zoomScaleNormal="100" zoomScaleSheetLayoutView="112" zoomScalePageLayoutView="56" workbookViewId="0">
      <selection activeCell="J13" sqref="J13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5.109375" customWidth="1"/>
    <col min="8" max="8" width="15.88671875" customWidth="1"/>
    <col min="9" max="9" width="9.21875" customWidth="1"/>
  </cols>
  <sheetData>
    <row r="1" spans="2:9">
      <c r="B1" s="23"/>
      <c r="C1" s="23"/>
      <c r="D1" s="23"/>
      <c r="E1" s="23"/>
      <c r="F1" s="23"/>
      <c r="G1" s="23"/>
      <c r="H1" s="23"/>
    </row>
    <row r="6" spans="2:9">
      <c r="H6" s="9" t="s">
        <v>12</v>
      </c>
      <c r="I6" s="1"/>
    </row>
    <row r="7" spans="2:9">
      <c r="H7" s="29" t="s">
        <v>30</v>
      </c>
    </row>
    <row r="12" spans="2:9" ht="12.6" customHeight="1">
      <c r="B12" s="24" t="s">
        <v>14</v>
      </c>
      <c r="C12" s="24"/>
      <c r="D12" s="33" t="s">
        <v>34</v>
      </c>
      <c r="E12" s="25"/>
      <c r="F12" t="s">
        <v>11</v>
      </c>
      <c r="G12" s="22" t="s">
        <v>28</v>
      </c>
      <c r="H12" s="22"/>
    </row>
    <row r="13" spans="2:9" ht="14.4" customHeight="1">
      <c r="B13" s="24" t="s">
        <v>0</v>
      </c>
      <c r="C13" s="24"/>
      <c r="D13" s="33" t="s">
        <v>33</v>
      </c>
      <c r="E13" s="25"/>
      <c r="F13" s="25"/>
      <c r="G13" s="25"/>
    </row>
    <row r="14" spans="2:9">
      <c r="B14" s="1" t="s">
        <v>1</v>
      </c>
      <c r="C14" s="1" t="s">
        <v>2</v>
      </c>
      <c r="D14" s="26" t="s">
        <v>3</v>
      </c>
      <c r="E14" s="26"/>
      <c r="F14" s="26" t="s">
        <v>10</v>
      </c>
      <c r="G14" s="26"/>
      <c r="H14" s="1" t="s">
        <v>13</v>
      </c>
    </row>
    <row r="15" spans="2:9">
      <c r="B15" s="2">
        <v>45719</v>
      </c>
      <c r="C15" s="1"/>
      <c r="D15" s="31" t="s">
        <v>31</v>
      </c>
      <c r="E15" s="18"/>
      <c r="F15" s="32" t="s">
        <v>32</v>
      </c>
      <c r="G15" s="22"/>
      <c r="H15" s="8">
        <v>500</v>
      </c>
    </row>
    <row r="16" spans="2:9" ht="15.6">
      <c r="B16" s="3" t="s">
        <v>4</v>
      </c>
      <c r="C16" s="3" t="s">
        <v>8</v>
      </c>
      <c r="D16" s="19" t="s">
        <v>5</v>
      </c>
      <c r="E16" s="19"/>
      <c r="F16" s="19"/>
      <c r="G16" s="3" t="s">
        <v>6</v>
      </c>
      <c r="H16" s="3" t="s">
        <v>7</v>
      </c>
    </row>
    <row r="17" spans="2:8">
      <c r="B17" s="4">
        <v>1</v>
      </c>
      <c r="C17" s="4">
        <v>3</v>
      </c>
      <c r="D17" s="20" t="s">
        <v>16</v>
      </c>
      <c r="E17" s="21"/>
      <c r="F17" s="21"/>
      <c r="G17" s="15">
        <f>208*700</f>
        <v>145600</v>
      </c>
      <c r="H17" s="6">
        <f t="shared" ref="H17:H29" si="0">B17*C17*G17</f>
        <v>436800</v>
      </c>
    </row>
    <row r="18" spans="2:8">
      <c r="B18" s="4">
        <v>1</v>
      </c>
      <c r="C18" s="4">
        <v>3</v>
      </c>
      <c r="D18" s="20" t="s">
        <v>17</v>
      </c>
      <c r="E18" s="21"/>
      <c r="F18" s="21"/>
      <c r="G18" s="10">
        <v>20000</v>
      </c>
      <c r="H18" s="6">
        <f t="shared" si="0"/>
        <v>60000</v>
      </c>
    </row>
    <row r="19" spans="2:8">
      <c r="B19" s="4">
        <v>1</v>
      </c>
      <c r="C19" s="4">
        <v>3</v>
      </c>
      <c r="D19" s="30" t="s">
        <v>18</v>
      </c>
      <c r="E19" s="16"/>
      <c r="F19" s="17"/>
      <c r="G19" s="10">
        <v>4500</v>
      </c>
      <c r="H19" s="6">
        <f t="shared" si="0"/>
        <v>13500</v>
      </c>
    </row>
    <row r="20" spans="2:8">
      <c r="B20" s="4">
        <v>2</v>
      </c>
      <c r="C20" s="4">
        <v>3</v>
      </c>
      <c r="D20" s="20" t="s">
        <v>19</v>
      </c>
      <c r="E20" s="21"/>
      <c r="F20" s="21"/>
      <c r="G20" s="14">
        <v>2000</v>
      </c>
      <c r="H20" s="6">
        <f t="shared" si="0"/>
        <v>12000</v>
      </c>
    </row>
    <row r="21" spans="2:8">
      <c r="B21" s="4">
        <v>1</v>
      </c>
      <c r="C21" s="4">
        <v>3</v>
      </c>
      <c r="D21" s="20" t="s">
        <v>20</v>
      </c>
      <c r="E21" s="21"/>
      <c r="F21" s="21"/>
      <c r="G21" s="10">
        <v>20000</v>
      </c>
      <c r="H21" s="6">
        <f t="shared" si="0"/>
        <v>60000</v>
      </c>
    </row>
    <row r="22" spans="2:8">
      <c r="B22" s="7">
        <v>6</v>
      </c>
      <c r="C22" s="4">
        <v>3</v>
      </c>
      <c r="D22" s="20" t="s">
        <v>22</v>
      </c>
      <c r="E22" s="21"/>
      <c r="F22" s="21"/>
      <c r="G22" s="10">
        <v>250</v>
      </c>
      <c r="H22" s="6">
        <f t="shared" si="0"/>
        <v>4500</v>
      </c>
    </row>
    <row r="23" spans="2:8">
      <c r="B23" s="4">
        <v>1</v>
      </c>
      <c r="C23" s="7">
        <v>3</v>
      </c>
      <c r="D23" s="20" t="s">
        <v>21</v>
      </c>
      <c r="E23" s="21"/>
      <c r="F23" s="21"/>
      <c r="G23" s="10">
        <v>1000</v>
      </c>
      <c r="H23" s="6">
        <f t="shared" si="0"/>
        <v>3000</v>
      </c>
    </row>
    <row r="24" spans="2:8">
      <c r="B24" s="4">
        <v>2</v>
      </c>
      <c r="C24" s="7">
        <v>3</v>
      </c>
      <c r="D24" s="27" t="s">
        <v>23</v>
      </c>
      <c r="E24" s="16"/>
      <c r="F24" s="17"/>
      <c r="G24" s="10">
        <v>2000</v>
      </c>
      <c r="H24" s="6">
        <f t="shared" si="0"/>
        <v>12000</v>
      </c>
    </row>
    <row r="25" spans="2:8">
      <c r="B25" s="4">
        <v>1</v>
      </c>
      <c r="C25" s="7">
        <v>3</v>
      </c>
      <c r="D25" s="27" t="s">
        <v>24</v>
      </c>
      <c r="E25" s="16"/>
      <c r="F25" s="17"/>
      <c r="G25" s="10">
        <v>9000</v>
      </c>
      <c r="H25" s="6">
        <f t="shared" si="0"/>
        <v>27000</v>
      </c>
    </row>
    <row r="26" spans="2:8">
      <c r="B26" s="4">
        <v>2</v>
      </c>
      <c r="C26" s="7">
        <v>3</v>
      </c>
      <c r="D26" s="27" t="s">
        <v>25</v>
      </c>
      <c r="E26" s="16"/>
      <c r="F26" s="17"/>
      <c r="G26" s="10">
        <v>2500</v>
      </c>
      <c r="H26" s="6">
        <f t="shared" si="0"/>
        <v>15000</v>
      </c>
    </row>
    <row r="27" spans="2:8">
      <c r="B27" s="4">
        <v>4</v>
      </c>
      <c r="C27" s="7">
        <v>2</v>
      </c>
      <c r="D27" s="27" t="s">
        <v>26</v>
      </c>
      <c r="E27" s="16"/>
      <c r="F27" s="17"/>
      <c r="G27" s="10">
        <v>1000</v>
      </c>
      <c r="H27" s="6">
        <f t="shared" si="0"/>
        <v>8000</v>
      </c>
    </row>
    <row r="28" spans="2:8">
      <c r="B28" s="4">
        <v>3</v>
      </c>
      <c r="C28" s="7">
        <v>3</v>
      </c>
      <c r="D28" s="27" t="s">
        <v>27</v>
      </c>
      <c r="E28" s="16"/>
      <c r="F28" s="17"/>
      <c r="G28" s="10">
        <v>2000</v>
      </c>
      <c r="H28" s="6">
        <f t="shared" si="0"/>
        <v>18000</v>
      </c>
    </row>
    <row r="29" spans="2:8">
      <c r="B29" s="4">
        <v>2</v>
      </c>
      <c r="C29" s="7">
        <v>3</v>
      </c>
      <c r="D29" s="27" t="s">
        <v>29</v>
      </c>
      <c r="E29" s="16"/>
      <c r="F29" s="17"/>
      <c r="G29" s="10">
        <v>1000</v>
      </c>
      <c r="H29" s="6">
        <f t="shared" si="0"/>
        <v>6000</v>
      </c>
    </row>
    <row r="30" spans="2:8">
      <c r="D30" s="28"/>
      <c r="E30" s="28"/>
      <c r="F30" s="28"/>
      <c r="G30" s="11" t="s">
        <v>9</v>
      </c>
      <c r="H30" s="12">
        <f>SUM(H17:H29)</f>
        <v>675800</v>
      </c>
    </row>
    <row r="31" spans="2:8">
      <c r="G31" s="11" t="s">
        <v>15</v>
      </c>
      <c r="H31" s="13"/>
    </row>
    <row r="32" spans="2:8">
      <c r="G32" s="11" t="s">
        <v>9</v>
      </c>
      <c r="H32" s="13">
        <f>H31+H30</f>
        <v>675800</v>
      </c>
    </row>
    <row r="39" spans="2:8" ht="62.4" customHeight="1"/>
    <row r="41" spans="2:8" ht="27.6" customHeight="1"/>
    <row r="42" spans="2:8" ht="5.4" customHeight="1">
      <c r="B42" s="5"/>
      <c r="C42" s="5"/>
      <c r="D42" s="5"/>
      <c r="E42" s="5"/>
      <c r="F42" s="5"/>
      <c r="G42" s="5"/>
      <c r="H42" s="5"/>
    </row>
    <row r="44" spans="2:8" ht="25.2" customHeight="1"/>
    <row r="51" ht="21" customHeight="1"/>
    <row r="53" ht="1.95" customHeight="1"/>
    <row r="54" ht="7.95" customHeight="1"/>
    <row r="55" ht="16.05" customHeight="1"/>
    <row r="57" ht="6" customHeight="1"/>
    <row r="58" ht="9.75" customHeight="1"/>
  </sheetData>
  <mergeCells count="25">
    <mergeCell ref="D20:F20"/>
    <mergeCell ref="D30:F30"/>
    <mergeCell ref="D24:F24"/>
    <mergeCell ref="D23:F23"/>
    <mergeCell ref="D21:F21"/>
    <mergeCell ref="D22:F22"/>
    <mergeCell ref="D25:F25"/>
    <mergeCell ref="D27:F27"/>
    <mergeCell ref="D26:F26"/>
    <mergeCell ref="D29:F29"/>
    <mergeCell ref="D28:F28"/>
    <mergeCell ref="B1:H1"/>
    <mergeCell ref="B12:C12"/>
    <mergeCell ref="B13:C13"/>
    <mergeCell ref="D13:G13"/>
    <mergeCell ref="D14:E14"/>
    <mergeCell ref="D12:E12"/>
    <mergeCell ref="G12:H12"/>
    <mergeCell ref="F14:G14"/>
    <mergeCell ref="D19:F19"/>
    <mergeCell ref="D15:E15"/>
    <mergeCell ref="D16:F16"/>
    <mergeCell ref="D17:F17"/>
    <mergeCell ref="F15:G15"/>
    <mergeCell ref="D18:F18"/>
  </mergeCells>
  <phoneticPr fontId="6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2025-02-20T17:44:45Z</cp:lastPrinted>
  <dcterms:created xsi:type="dcterms:W3CDTF">2022-10-19T19:05:00Z</dcterms:created>
  <dcterms:modified xsi:type="dcterms:W3CDTF">2025-03-03T05:22:50Z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