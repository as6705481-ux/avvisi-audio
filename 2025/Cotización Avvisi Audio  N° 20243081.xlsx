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A5575A8-4E19-4E7A-8615-957BEF02E85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9" i="1" l="1"/>
  <c r="H24" i="1"/>
  <c r="H25" i="1"/>
  <c r="H26" i="1"/>
  <c r="H23" i="1"/>
  <c r="H22" i="1"/>
  <c r="H21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<sst xmlns="http://schemas.openxmlformats.org/spreadsheetml/2006/main" count="26" uniqueCount="25">
  <si>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</si>
  <si>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</si>
  <si>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</si>
  <si>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</si>
  <si>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</si>
  <si>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</si>
  <si>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</si>
  <si>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</si>
  <si>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</si>
  <si>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</si>
  <si>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</si>
  <si>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</si>
  <si>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</si>
  <si>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</si>
  <si>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</si>
  <si>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</si>
  <si>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</si>
  <si>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Tegucigalpa </t>
  </si>
  <si>
    <t xml:space="preserve">Cena Navideña </t>
  </si>
  <si>
    <t>2024-3081</t>
  </si>
  <si>
    <t xml:space="preserve">Audio para 50 personas </t>
  </si>
  <si>
    <t xml:space="preserve">Microfonos inalambricos </t>
  </si>
  <si>
    <t>DJ Profesional con tornamesa</t>
  </si>
  <si>
    <t xml:space="preserve">Montaje y luces para fiesta de 50 personas </t>
  </si>
  <si>
    <t xml:space="preserve">50 Personas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</si>
</sst>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8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0" fillId="3" borderId="3" xfId="2" applyNumberFormat="1" applyFont="1" applyBorder="1" applyAlignment="1"/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zoomScale="120" zoomScaleNormal="100" zoomScaleSheetLayoutView="112" zoomScalePageLayoutView="120" workbookViewId="0">
      <selection activeCell="H15" sqref="H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9" t="s">
        <v>12</v>
      </c>
      <c r="I6" s="1"/>
    </row>
    <row r="7" spans="2:9">
      <c r="H7" s="31" t="s">
        <v>19</v>
      </c>
    </row>
    <row r="12" spans="2:9" ht="12.6" customHeight="1">
      <c r="B12" s="22" t="s">
        <v>14</v>
      </c>
      <c r="C12" s="22"/>
      <c r="D12" s="26"/>
      <c r="E12" s="24"/>
      <c r="F12" t="s">
        <v>11</v>
      </c>
      <c r="G12" s="27" t="s">
        <v>15</v>
      </c>
      <c r="H12" s="27"/>
    </row>
    <row r="13" spans="2:9" ht="14.4" customHeight="1">
      <c r="B13" s="22" t="s">
        <v>0</v>
      </c>
      <c r="C13" s="22"/>
      <c r="D13" s="23" t="s">
        <v>17</v>
      </c>
      <c r="E13" s="24"/>
      <c r="F13" s="24"/>
      <c r="G13" s="24"/>
    </row>
    <row r="14" spans="2:9">
      <c r="B14" s="1" t="s">
        <v>1</v>
      </c>
      <c r="C14" s="1" t="s">
        <v>2</v>
      </c>
      <c r="D14" s="25" t="s">
        <v>3</v>
      </c>
      <c r="E14" s="25"/>
      <c r="F14" s="25" t="s">
        <v>10</v>
      </c>
      <c r="G14" s="25"/>
      <c r="H14" s="1" t="s">
        <v>13</v>
      </c>
    </row>
    <row r="15" spans="2:9">
      <c r="B15" s="2">
        <v>45601</v>
      </c>
      <c r="C15" s="1"/>
      <c r="D15" s="28">
        <v>45646</v>
      </c>
      <c r="E15" s="29"/>
      <c r="F15" s="32" t="s">
        <v>18</v>
      </c>
      <c r="G15" s="27"/>
      <c r="H15" s="8" t="s">
        <v>24</v>
      </c>
    </row>
    <row r="16" spans="2:9" ht="15.6">
      <c r="B16" s="3" t="s">
        <v>4</v>
      </c>
      <c r="C16" s="3" t="s">
        <v>8</v>
      </c>
      <c r="D16" s="30" t="s">
        <v>5</v>
      </c>
      <c r="E16" s="30"/>
      <c r="F16" s="30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5" t="s">
        <v>20</v>
      </c>
      <c r="E17" s="16"/>
      <c r="F17" s="16"/>
      <c r="G17" s="10">
        <v>3500</v>
      </c>
      <c r="H17" s="6">
        <f>G17*B17*C17</f>
        <v>3500</v>
      </c>
    </row>
    <row r="18" spans="2:8">
      <c r="B18" s="4">
        <v>2</v>
      </c>
      <c r="C18" s="7">
        <v>1</v>
      </c>
      <c r="D18" s="15" t="s">
        <v>21</v>
      </c>
      <c r="E18" s="16"/>
      <c r="F18" s="16"/>
      <c r="G18" s="10">
        <v>250</v>
      </c>
      <c r="H18" s="6">
        <f>G18*B18*C18</f>
        <v>500</v>
      </c>
    </row>
    <row r="19" spans="2:8">
      <c r="B19" s="4">
        <v>1</v>
      </c>
      <c r="C19" s="7">
        <v>1</v>
      </c>
      <c r="D19" s="15" t="s">
        <v>22</v>
      </c>
      <c r="E19" s="16"/>
      <c r="F19" s="16"/>
      <c r="G19" s="14">
        <v>2500</v>
      </c>
      <c r="H19" s="6">
        <f>G19*B19*C19</f>
        <v>2500</v>
      </c>
    </row>
    <row r="20" spans="2:8">
      <c r="B20" s="4">
        <v>1</v>
      </c>
      <c r="C20" s="7">
        <v>1</v>
      </c>
      <c r="D20" s="15" t="s">
        <v>23</v>
      </c>
      <c r="E20" s="16"/>
      <c r="F20" s="16"/>
      <c r="G20" s="10">
        <v>2000</v>
      </c>
      <c r="H20" s="6">
        <f>G20*B20*C20</f>
        <v>2000</v>
      </c>
    </row>
    <row r="21" spans="2:8">
      <c r="B21" s="4"/>
      <c r="C21" s="7"/>
      <c r="D21" s="17"/>
      <c r="E21" s="18"/>
      <c r="F21" s="19"/>
      <c r="G21" s="10"/>
      <c r="H21" s="6">
        <f t="shared" ref="H20:H26" si="0">G21*B21*C21</f>
        <v>0</v>
      </c>
    </row>
    <row r="22" spans="2:8">
      <c r="B22" s="4"/>
      <c r="C22" s="7"/>
      <c r="D22" s="17"/>
      <c r="E22" s="18"/>
      <c r="F22" s="19"/>
      <c r="G22" s="10"/>
      <c r="H22" s="6">
        <f t="shared" si="0"/>
        <v>0</v>
      </c>
    </row>
    <row r="23" spans="2:8">
      <c r="B23" s="4"/>
      <c r="C23" s="7"/>
      <c r="D23" s="17"/>
      <c r="E23" s="18"/>
      <c r="F23" s="19"/>
      <c r="G23" s="10"/>
      <c r="H23" s="6">
        <f t="shared" si="0"/>
        <v>0</v>
      </c>
    </row>
    <row r="24" spans="2:8">
      <c r="B24" s="4"/>
      <c r="C24" s="7"/>
      <c r="D24" s="17"/>
      <c r="E24" s="18"/>
      <c r="F24" s="19"/>
      <c r="G24" s="10"/>
      <c r="H24" s="6">
        <f t="shared" si="0"/>
        <v>0</v>
      </c>
    </row>
    <row r="25" spans="2:8">
      <c r="B25" s="4"/>
      <c r="C25" s="7"/>
      <c r="D25" s="17"/>
      <c r="E25" s="18"/>
      <c r="F25" s="19"/>
      <c r="G25" s="10"/>
      <c r="H25" s="6">
        <f t="shared" si="0"/>
        <v>0</v>
      </c>
    </row>
    <row r="26" spans="2:8">
      <c r="B26" s="4"/>
      <c r="C26" s="7"/>
      <c r="D26" s="17"/>
      <c r="E26" s="18"/>
      <c r="F26" s="19"/>
      <c r="G26" s="10"/>
      <c r="H26" s="6">
        <f t="shared" si="0"/>
        <v>0</v>
      </c>
    </row>
    <row r="27" spans="2:8">
      <c r="D27" s="20"/>
      <c r="E27" s="20"/>
      <c r="F27" s="20"/>
      <c r="G27" s="11" t="s">
        <v>9</v>
      </c>
      <c r="H27" s="12">
        <f>SUM(H17:H26)</f>
        <v>8500</v>
      </c>
    </row>
    <row r="28" spans="2:8">
      <c r="G28" s="11" t="s">
        <v>16</v>
      </c>
      <c r="H28" s="13">
        <f>H27*0.15</f>
        <v>1275</v>
      </c>
    </row>
    <row r="29" spans="2:8">
      <c r="G29" s="11" t="s">
        <v>9</v>
      </c>
      <c r="H29" s="13">
        <f>H28+H27</f>
        <v>9775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2024-11-05T15:54:28Z</cp:lastPrinted>
  <dcterms:created xsi:type="dcterms:W3CDTF">2022-10-19T19:05:00Z</dcterms:created>
  <dcterms:modified xsi:type="dcterms:W3CDTF">2024-11-05T22:49:45Z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