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B9459FA-1F30-42EF-9F93-63F64901C3C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H29" i="1" l="1"/>
  <c r="H30" i="1"/>
  <c r="H31" i="1"/>
  <c r="H18" i="1"/>
  <c r="H19" i="1"/>
  <c r="H20" i="1"/>
  <c r="H21" i="1"/>
  <c r="H22" i="1"/>
  <c r="H23" i="1"/>
  <c r="H24" i="1"/>
  <c r="H25" i="1"/>
  <c r="H26" i="1"/>
  <c r="H27" i="1"/>
  <c r="H28" i="1"/>
  <c r="H32" i="1"/>
  <c r="H17" i="1"/>
  <c r="H33" i="1" l="1"/>
  <c r="H34" i="1" l="1"/>
  <c r="H35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<sst xmlns="http://schemas.openxmlformats.org/spreadsheetml/2006/main" count="30" uniqueCount="29">
  <si>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</si>
  <si>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</si>
  <si>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</si>
  <si>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</si>
  <si>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</si>
  <si>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</si>
  <si>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</si>
  <si>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</si>
  <si>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</si>
  <si>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</si>
  <si>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</si>
  <si>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</si>
  <si>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</si>
  <si>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</si>
  <si>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</si>
  <si>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</si>
  <si>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5 Horas </t>
  </si>
  <si>
    <t>3 de Abril 2025</t>
  </si>
  <si>
    <t xml:space="preserve">Pasarela de Verano </t>
  </si>
  <si>
    <t xml:space="preserve">Audio porporativo tipo barra </t>
  </si>
  <si>
    <t>Microfonos inalambricos SM58</t>
  </si>
  <si>
    <t>Tersonal tecnico staff</t>
  </si>
  <si>
    <t xml:space="preserve">Traslado ida y regreso El hatillo </t>
  </si>
  <si>
    <t xml:space="preserve">Pantalla Led 1.5 m x 2 m </t>
  </si>
  <si>
    <t xml:space="preserve">30 personas </t>
  </si>
  <si>
    <t xml:space="preserve">Villa Gracia el Hatillo </t>
  </si>
  <si>
    <t xml:space="preserve">Eufemio Martinez  </t>
  </si>
  <si>
    <t>AG De Honduras S.A De CV</t>
  </si>
  <si>
    <t>2025-106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</si>
</sst>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38</xdr:row>
      <xdr:rowOff>83925</xdr:rowOff>
    </xdr:from>
    <xdr:to>
      <xdr:col>1</xdr:col>
      <xdr:colOff>113617</xdr:colOff>
      <xdr:row>40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7105719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714201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32</xdr:row>
      <xdr:rowOff>35608</xdr:rowOff>
    </xdr:from>
    <xdr:to>
      <xdr:col>7</xdr:col>
      <xdr:colOff>1050524</xdr:colOff>
      <xdr:row>42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41</xdr:row>
      <xdr:rowOff>601411</xdr:rowOff>
    </xdr:from>
    <xdr:to>
      <xdr:col>4</xdr:col>
      <xdr:colOff>168596</xdr:colOff>
      <xdr:row>43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41</xdr:row>
      <xdr:rowOff>612567</xdr:rowOff>
    </xdr:from>
    <xdr:to>
      <xdr:col>7</xdr:col>
      <xdr:colOff>991200</xdr:colOff>
      <xdr:row>45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38</xdr:row>
      <xdr:rowOff>149553</xdr:rowOff>
    </xdr:from>
    <xdr:to>
      <xdr:col>4</xdr:col>
      <xdr:colOff>685751</xdr:colOff>
      <xdr:row>45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1"/>
  <sheetViews>
    <sheetView tabSelected="1" view="pageLayout" topLeftCell="A2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" customWidth="1"/>
    <col min="4" max="4" width="12.88671875" customWidth="1"/>
    <col min="5" max="5" width="16.21875" customWidth="1"/>
    <col min="6" max="6" width="18.21875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34" t="s">
        <v>28</v>
      </c>
    </row>
    <row r="12" spans="2:9" ht="12.6" customHeight="1">
      <c r="B12" s="26" t="s">
        <v>14</v>
      </c>
      <c r="C12" s="26"/>
      <c r="D12" s="33" t="s">
        <v>27</v>
      </c>
      <c r="E12" s="27"/>
      <c r="F12" t="s">
        <v>11</v>
      </c>
      <c r="G12" s="24" t="s">
        <v>26</v>
      </c>
      <c r="H12" s="24"/>
    </row>
    <row r="13" spans="2:9" ht="14.4" customHeight="1">
      <c r="B13" s="26" t="s">
        <v>0</v>
      </c>
      <c r="C13" s="26"/>
      <c r="D13" s="33" t="s">
        <v>25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13</v>
      </c>
    </row>
    <row r="15" spans="2:9">
      <c r="B15" s="2">
        <v>45736</v>
      </c>
      <c r="C15" s="1" t="s">
        <v>16</v>
      </c>
      <c r="D15" s="18" t="s">
        <v>17</v>
      </c>
      <c r="E15" s="19"/>
      <c r="F15" s="23" t="s">
        <v>18</v>
      </c>
      <c r="G15" s="24"/>
      <c r="H15" s="7" t="s">
        <v>24</v>
      </c>
    </row>
    <row r="16" spans="2:9" ht="15.6">
      <c r="B16" s="3" t="s">
        <v>4</v>
      </c>
      <c r="C16" s="3" t="s">
        <v>8</v>
      </c>
      <c r="D16" s="20" t="s">
        <v>5</v>
      </c>
      <c r="E16" s="20"/>
      <c r="F16" s="20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1" t="s">
        <v>19</v>
      </c>
      <c r="E17" s="22"/>
      <c r="F17" s="22"/>
      <c r="G17" s="13">
        <v>3000</v>
      </c>
      <c r="H17" s="17">
        <f>B17*G17*C17</f>
        <v>3000</v>
      </c>
    </row>
    <row r="18" spans="2:8">
      <c r="B18" s="4">
        <v>2</v>
      </c>
      <c r="C18" s="6">
        <v>1</v>
      </c>
      <c r="D18" s="21" t="s">
        <v>20</v>
      </c>
      <c r="E18" s="22"/>
      <c r="F18" s="22"/>
      <c r="G18" s="14">
        <v>250</v>
      </c>
      <c r="H18" s="17">
        <f t="shared" ref="H18:H32" si="0">B18*G18*C18</f>
        <v>500</v>
      </c>
    </row>
    <row r="19" spans="2:8">
      <c r="B19" s="4">
        <v>1</v>
      </c>
      <c r="C19" s="6">
        <v>1</v>
      </c>
      <c r="D19" s="21" t="s">
        <v>23</v>
      </c>
      <c r="E19" s="22"/>
      <c r="F19" s="22"/>
      <c r="G19" s="15">
        <v>6000</v>
      </c>
      <c r="H19" s="17">
        <f t="shared" si="0"/>
        <v>6000</v>
      </c>
    </row>
    <row r="20" spans="2:8">
      <c r="B20" s="4">
        <v>2</v>
      </c>
      <c r="C20" s="6">
        <v>1</v>
      </c>
      <c r="D20" s="21" t="s">
        <v>21</v>
      </c>
      <c r="E20" s="22"/>
      <c r="F20" s="22"/>
      <c r="G20" s="14">
        <v>1000</v>
      </c>
      <c r="H20" s="17">
        <f t="shared" si="0"/>
        <v>2000</v>
      </c>
    </row>
    <row r="21" spans="2:8">
      <c r="B21" s="4">
        <v>1</v>
      </c>
      <c r="C21" s="6">
        <v>1</v>
      </c>
      <c r="D21" s="21" t="s">
        <v>22</v>
      </c>
      <c r="E21" s="22"/>
      <c r="F21" s="22"/>
      <c r="G21" s="14">
        <v>1800</v>
      </c>
      <c r="H21" s="17">
        <f t="shared" si="0"/>
        <v>1800</v>
      </c>
    </row>
    <row r="22" spans="2:8">
      <c r="B22" s="6"/>
      <c r="C22" s="6"/>
      <c r="D22" s="21"/>
      <c r="E22" s="22"/>
      <c r="F22" s="22"/>
      <c r="G22" s="14"/>
      <c r="H22" s="17">
        <f t="shared" si="0"/>
        <v>0</v>
      </c>
    </row>
    <row r="23" spans="2:8">
      <c r="B23" s="4"/>
      <c r="C23" s="6"/>
      <c r="D23" s="29"/>
      <c r="E23" s="30"/>
      <c r="F23" s="31"/>
      <c r="G23" s="14"/>
      <c r="H23" s="17">
        <f t="shared" si="0"/>
        <v>0</v>
      </c>
    </row>
    <row r="24" spans="2:8">
      <c r="B24" s="4"/>
      <c r="C24" s="6"/>
      <c r="D24" s="29"/>
      <c r="E24" s="30"/>
      <c r="F24" s="31"/>
      <c r="G24" s="14"/>
      <c r="H24" s="17">
        <f t="shared" si="0"/>
        <v>0</v>
      </c>
    </row>
    <row r="25" spans="2:8">
      <c r="B25" s="4"/>
      <c r="C25" s="6"/>
      <c r="D25" s="29"/>
      <c r="E25" s="30"/>
      <c r="F25" s="31"/>
      <c r="G25" s="14"/>
      <c r="H25" s="17">
        <f t="shared" si="0"/>
        <v>0</v>
      </c>
    </row>
    <row r="26" spans="2:8">
      <c r="B26" s="4"/>
      <c r="C26" s="6"/>
      <c r="D26" s="29"/>
      <c r="E26" s="30"/>
      <c r="F26" s="31"/>
      <c r="G26" s="9"/>
      <c r="H26" s="17">
        <f t="shared" si="0"/>
        <v>0</v>
      </c>
    </row>
    <row r="27" spans="2:8">
      <c r="B27" s="4"/>
      <c r="C27" s="6"/>
      <c r="D27" s="29"/>
      <c r="E27" s="30"/>
      <c r="F27" s="31"/>
      <c r="G27" s="9"/>
      <c r="H27" s="17">
        <f t="shared" si="0"/>
        <v>0</v>
      </c>
    </row>
    <row r="28" spans="2:8">
      <c r="B28" s="4"/>
      <c r="C28" s="6"/>
      <c r="D28" s="29"/>
      <c r="E28" s="30"/>
      <c r="F28" s="31"/>
      <c r="G28" s="9"/>
      <c r="H28" s="17">
        <f t="shared" si="0"/>
        <v>0</v>
      </c>
    </row>
    <row r="29" spans="2:8">
      <c r="B29" s="4"/>
      <c r="C29" s="6"/>
      <c r="D29" s="29"/>
      <c r="E29" s="30"/>
      <c r="F29" s="31"/>
      <c r="G29" s="9"/>
      <c r="H29" s="17">
        <f t="shared" si="0"/>
        <v>0</v>
      </c>
    </row>
    <row r="30" spans="2:8">
      <c r="B30" s="4"/>
      <c r="C30" s="6"/>
      <c r="D30" s="29"/>
      <c r="E30" s="30"/>
      <c r="F30" s="31"/>
      <c r="G30" s="9"/>
      <c r="H30" s="17">
        <f t="shared" si="0"/>
        <v>0</v>
      </c>
    </row>
    <row r="31" spans="2:8">
      <c r="B31" s="4"/>
      <c r="C31" s="6"/>
      <c r="D31" s="29"/>
      <c r="E31" s="30"/>
      <c r="F31" s="31"/>
      <c r="G31" s="9"/>
      <c r="H31" s="17">
        <f t="shared" si="0"/>
        <v>0</v>
      </c>
    </row>
    <row r="32" spans="2:8">
      <c r="B32" s="4"/>
      <c r="C32" s="6"/>
      <c r="D32" s="29"/>
      <c r="E32" s="30"/>
      <c r="F32" s="31"/>
      <c r="G32" s="9"/>
      <c r="H32" s="17">
        <f t="shared" si="0"/>
        <v>0</v>
      </c>
    </row>
    <row r="33" spans="2:8">
      <c r="D33" s="32"/>
      <c r="E33" s="32"/>
      <c r="F33" s="32"/>
      <c r="G33" s="10" t="s">
        <v>9</v>
      </c>
      <c r="H33" s="11">
        <f>SUM(H17:H32)</f>
        <v>13300</v>
      </c>
    </row>
    <row r="34" spans="2:8">
      <c r="G34" s="10" t="s">
        <v>15</v>
      </c>
      <c r="H34" s="12">
        <f>H33*0.15</f>
        <v>1995</v>
      </c>
    </row>
    <row r="35" spans="2:8">
      <c r="G35" s="10" t="s">
        <v>9</v>
      </c>
      <c r="H35" s="12">
        <f>H34+H33</f>
        <v>15295</v>
      </c>
    </row>
    <row r="42" spans="2:8" ht="62.4" customHeight="1"/>
    <row r="44" spans="2:8" ht="27.6" customHeight="1"/>
    <row r="45" spans="2:8" ht="5.4" customHeight="1">
      <c r="B45" s="5"/>
      <c r="C45" s="5"/>
      <c r="D45" s="5"/>
      <c r="E45" s="5"/>
      <c r="F45" s="5"/>
      <c r="G45" s="5"/>
      <c r="H45" s="5"/>
    </row>
    <row r="47" spans="2:8" ht="25.2" customHeight="1"/>
    <row r="54" ht="21" customHeight="1"/>
    <row r="56" ht="1.95" customHeight="1"/>
    <row r="57" ht="7.95" customHeight="1"/>
    <row r="58" ht="16.05" customHeight="1"/>
    <row r="60" ht="6" customHeight="1"/>
    <row r="61" ht="9.75" customHeight="1"/>
  </sheetData>
  <mergeCells count="28">
    <mergeCell ref="D19:F19"/>
    <mergeCell ref="D32:F32"/>
    <mergeCell ref="D33:F33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D29:F29"/>
    <mergeCell ref="D30:F30"/>
    <mergeCell ref="D31:F31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2025-03-19T01:39:13Z</cp:lastPrinted>
  <dcterms:created xsi:type="dcterms:W3CDTF">2022-10-19T19:05:00Z</dcterms:created>
  <dcterms:modified xsi:type="dcterms:W3CDTF">2025-03-20T22:43:11Z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