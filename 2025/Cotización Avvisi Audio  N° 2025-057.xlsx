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445E79F2-7E55-4EDA-8753-8A5E6A3E766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 s="1"/>
  <c r="H18" i="1"/>
  <c r="H17" i="1"/>
  <c r="H21" i="1" l="1"/>
  <c r="H22" i="1" s="1"/>
</calcChain>
</file>

<file path=xl/sharedStrings.xml><?xml version="1.0" encoding="utf-8"?>
<sst xmlns="http://schemas.openxmlformats.org/spreadsheetml/2006/main" count="26" uniqueCount="26">
  <si>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</si>
  <si>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</si>
  <si>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</si>
  <si>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</si>
  <si>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</si>
  <si>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</si>
  <si>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</si>
  <si>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</si>
  <si>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</si>
  <si>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</si>
  <si>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</si>
  <si>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</si>
  <si>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</si>
  <si>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</si>
  <si>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</si>
  <si>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</si>
  <si>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Tegucigalpa</t>
  </si>
  <si>
    <t>Corporativo</t>
  </si>
  <si>
    <t>Eufemio Martinez</t>
  </si>
  <si>
    <t xml:space="preserve">Cámara Hondureña de la Industria de la Construcción - CHICO </t>
  </si>
  <si>
    <t xml:space="preserve">28 de Febrero </t>
  </si>
  <si>
    <t xml:space="preserve">AudioProfesional con 2 mic </t>
  </si>
  <si>
    <t xml:space="preserve">Descuento </t>
  </si>
  <si>
    <t xml:space="preserve">Total </t>
  </si>
  <si>
    <t>2025-057</t>
  </si>
  <si>
    <t xml:space="preserve">Pantalla led 2 x 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</si>
</sst>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44" fontId="6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6" fillId="3" borderId="3" xfId="2" applyBorder="1" applyAlignment="1">
      <alignment horizontal="center" vertical="center"/>
    </xf>
    <xf numFmtId="0" fontId="6" fillId="3" borderId="3" xfId="2" applyBorder="1" applyAlignment="1">
      <alignment horizontal="center"/>
    </xf>
    <xf numFmtId="44" fontId="6" fillId="3" borderId="3" xfId="3" applyFill="1" applyBorder="1" applyAlignment="1"/>
    <xf numFmtId="44" fontId="6" fillId="3" borderId="8" xfId="3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6" fillId="3" borderId="6" xfId="2" applyBorder="1" applyAlignment="1">
      <alignment horizontal="left"/>
    </xf>
    <xf numFmtId="0" fontId="6" fillId="3" borderId="4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25</xdr:row>
      <xdr:rowOff>83925</xdr:rowOff>
    </xdr:from>
    <xdr:to>
      <xdr:col>1</xdr:col>
      <xdr:colOff>113617</xdr:colOff>
      <xdr:row>27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0385" y="4680506"/>
          <a:ext cx="50716" cy="33458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729"/>
          <a:ext cx="6891089" cy="132925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55927</xdr:colOff>
      <xdr:row>19</xdr:row>
      <xdr:rowOff>153798</xdr:rowOff>
    </xdr:from>
    <xdr:to>
      <xdr:col>7</xdr:col>
      <xdr:colOff>970936</xdr:colOff>
      <xdr:row>30</xdr:row>
      <xdr:rowOff>209180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5927" y="3644250"/>
          <a:ext cx="6838944" cy="26855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28</xdr:row>
      <xdr:rowOff>601411</xdr:rowOff>
    </xdr:from>
    <xdr:to>
      <xdr:col>4</xdr:col>
      <xdr:colOff>168596</xdr:colOff>
      <xdr:row>30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28</xdr:row>
      <xdr:rowOff>612567</xdr:rowOff>
    </xdr:from>
    <xdr:to>
      <xdr:col>7</xdr:col>
      <xdr:colOff>991200</xdr:colOff>
      <xdr:row>32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25</xdr:row>
      <xdr:rowOff>149553</xdr:rowOff>
    </xdr:from>
    <xdr:to>
      <xdr:col>4</xdr:col>
      <xdr:colOff>684705</xdr:colOff>
      <xdr:row>32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8"/>
  <sheetViews>
    <sheetView tabSelected="1" view="pageLayout" zoomScale="62" zoomScaleNormal="100" zoomScaleSheetLayoutView="112" zoomScalePageLayoutView="62" workbookViewId="0">
      <selection activeCell="G20" sqref="G20"/>
    </sheetView>
  </sheetViews>
  <sheetFormatPr baseColWidth="10" defaultColWidth="11" defaultRowHeight="14.4"/>
  <cols>
    <col min="1" max="1" width="2.109375" customWidth="1"/>
    <col min="2" max="2" width="10.6640625" customWidth="1"/>
    <col min="3" max="3" width="8.77734375" customWidth="1"/>
    <col min="4" max="4" width="12.88671875" customWidth="1"/>
    <col min="5" max="5" width="19.8867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5"/>
      <c r="C1" s="15"/>
      <c r="D1" s="15"/>
      <c r="E1" s="15"/>
      <c r="F1" s="15"/>
      <c r="G1" s="15"/>
      <c r="H1" s="15"/>
    </row>
    <row r="6" spans="2:9">
      <c r="H6" s="6" t="s">
        <v>12</v>
      </c>
      <c r="I6" s="1"/>
    </row>
    <row r="7" spans="2:9">
      <c r="H7" s="31" t="s">
        <v>24</v>
      </c>
    </row>
    <row r="12" spans="2:9" ht="12.6" customHeight="1">
      <c r="B12" t="s">
        <v>14</v>
      </c>
      <c r="C12" s="28" t="s">
        <v>19</v>
      </c>
      <c r="D12" s="28"/>
      <c r="E12" s="28"/>
      <c r="F12" t="s">
        <v>11</v>
      </c>
      <c r="G12" s="20" t="s">
        <v>18</v>
      </c>
      <c r="H12" s="20"/>
    </row>
    <row r="13" spans="2:9" ht="14.4" customHeight="1">
      <c r="B13" s="16" t="s">
        <v>0</v>
      </c>
      <c r="C13" s="16"/>
      <c r="D13" s="17" t="s">
        <v>16</v>
      </c>
      <c r="E13" s="18"/>
      <c r="F13" s="18"/>
      <c r="G13" s="18"/>
    </row>
    <row r="14" spans="2:9">
      <c r="B14" s="1" t="s">
        <v>1</v>
      </c>
      <c r="C14" s="1" t="s">
        <v>2</v>
      </c>
      <c r="D14" s="19" t="s">
        <v>3</v>
      </c>
      <c r="E14" s="19"/>
      <c r="F14" s="19" t="s">
        <v>10</v>
      </c>
      <c r="G14" s="19"/>
      <c r="H14" s="1" t="s">
        <v>13</v>
      </c>
    </row>
    <row r="15" spans="2:9">
      <c r="B15" s="2">
        <v>45694</v>
      </c>
      <c r="C15" s="1"/>
      <c r="D15" s="21" t="s">
        <v>20</v>
      </c>
      <c r="E15" s="22"/>
      <c r="F15" s="27" t="s">
        <v>17</v>
      </c>
      <c r="G15" s="20"/>
      <c r="H15" s="5">
        <v>60</v>
      </c>
    </row>
    <row r="16" spans="2:9" ht="15.6">
      <c r="B16" s="3" t="s">
        <v>4</v>
      </c>
      <c r="C16" s="3" t="s">
        <v>8</v>
      </c>
      <c r="D16" s="23" t="s">
        <v>5</v>
      </c>
      <c r="E16" s="23"/>
      <c r="F16" s="23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24" t="s">
        <v>25</v>
      </c>
      <c r="E17" s="25"/>
      <c r="F17" s="26"/>
      <c r="G17" s="13">
        <v>5000</v>
      </c>
      <c r="H17" s="13">
        <f>G17*B17*C17</f>
        <v>5000</v>
      </c>
    </row>
    <row r="18" spans="2:8">
      <c r="B18" s="10">
        <v>1</v>
      </c>
      <c r="C18" s="10">
        <v>1</v>
      </c>
      <c r="D18" s="24" t="s">
        <v>21</v>
      </c>
      <c r="E18" s="29"/>
      <c r="F18" s="30"/>
      <c r="G18" s="13">
        <v>3500</v>
      </c>
      <c r="H18" s="13">
        <f>G18*B18*C18</f>
        <v>3500</v>
      </c>
    </row>
    <row r="19" spans="2:8">
      <c r="B19" s="11">
        <v>1</v>
      </c>
      <c r="C19" s="10">
        <v>1</v>
      </c>
      <c r="D19" s="24" t="s">
        <v>22</v>
      </c>
      <c r="E19" s="25"/>
      <c r="F19" s="26"/>
      <c r="G19" s="12">
        <v>-1000</v>
      </c>
      <c r="H19" s="13">
        <f>G19</f>
        <v>-1000</v>
      </c>
    </row>
    <row r="20" spans="2:8">
      <c r="D20" s="14"/>
      <c r="E20" s="14"/>
      <c r="F20" s="14"/>
      <c r="G20" s="7" t="s">
        <v>9</v>
      </c>
      <c r="H20" s="8">
        <f>H17+H18+H19</f>
        <v>7500</v>
      </c>
    </row>
    <row r="21" spans="2:8">
      <c r="G21" s="7" t="s">
        <v>15</v>
      </c>
      <c r="H21" s="9">
        <f>H20*0.15</f>
        <v>1125</v>
      </c>
    </row>
    <row r="22" spans="2:8">
      <c r="G22" s="7" t="s">
        <v>23</v>
      </c>
      <c r="H22" s="9">
        <f>H21+H20</f>
        <v>8625</v>
      </c>
    </row>
    <row r="29" spans="2:8" ht="62.4" customHeight="1"/>
    <row r="31" spans="2:8" ht="27.6" customHeight="1"/>
    <row r="32" spans="2:8" ht="5.4" customHeight="1">
      <c r="B32" s="4"/>
      <c r="C32" s="4"/>
      <c r="D32" s="4"/>
      <c r="E32" s="4"/>
      <c r="F32" s="4"/>
      <c r="G32" s="4"/>
      <c r="H32" s="4"/>
    </row>
    <row r="34" ht="25.2" customHeight="1"/>
    <row r="41" ht="21" customHeight="1"/>
    <row r="43" ht="1.95" customHeight="1"/>
    <row r="44" ht="7.95" customHeight="1"/>
    <row r="45" ht="16.05" customHeight="1"/>
    <row r="47" ht="6" customHeight="1"/>
    <row r="48" ht="9.75" customHeight="1"/>
  </sheetData>
  <mergeCells count="13">
    <mergeCell ref="D20:F20"/>
    <mergeCell ref="B1:H1"/>
    <mergeCell ref="B13:C13"/>
    <mergeCell ref="D13:G13"/>
    <mergeCell ref="D14:E14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2025-02-06T21:46:08Z</cp:lastPrinted>
  <dcterms:created xsi:type="dcterms:W3CDTF">2022-10-19T19:05:00Z</dcterms:created>
  <dcterms:modified xsi:type="dcterms:W3CDTF">2025-02-06T21:59:46Z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