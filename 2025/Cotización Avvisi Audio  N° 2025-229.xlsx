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heckCompatibility="1"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DD5243CC-0598-4BAB-BFBA-B8973ABECEE2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H17" i="1"/>
  <c r="H16" i="1"/>
  <c r="H18" i="1"/>
  <c r="H19" i="1"/>
  <c r="H20" i="1"/>
  <c r="H22" i="1"/>
  <c r="H24" i="1"/>
  <c r="H25" i="1" l="1"/>
  <c r="H26" i="1" s="1"/>
  <c r="H27" i="1" l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<sst xmlns="http://schemas.openxmlformats.org/spreadsheetml/2006/main" count="29" uniqueCount="28">
  <si>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</si>
  <si>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</si>
  <si>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</si>
  <si>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</si>
  <si>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</si>
  <si>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Unidad</t>
  </si>
  <si>
    <t>Total</t>
  </si>
  <si>
    <t>Dias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</si>
  <si>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</si>
  <si>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</si>
  <si>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</si>
  <si>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</si>
  <si>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</si>
  <si>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RTN</t>
  </si>
  <si>
    <t>ISV</t>
  </si>
  <si>
    <t>SubTotal</t>
  </si>
  <si>
    <t xml:space="preserve">No definido </t>
  </si>
  <si>
    <t>Tegucigalpa</t>
  </si>
  <si>
    <t>RAP</t>
  </si>
  <si>
    <t>Eufemio Martinez</t>
  </si>
  <si>
    <t>Pantalla Led 3x2</t>
  </si>
  <si>
    <t>Audio profesional y consola</t>
  </si>
  <si>
    <t>Microfonos inalambricos</t>
  </si>
  <si>
    <t>Tarima  2.50x4 a 30cm</t>
  </si>
  <si>
    <t>Luces led</t>
  </si>
  <si>
    <t xml:space="preserve">Grabacion </t>
  </si>
  <si>
    <t>Carpa 12x6</t>
  </si>
  <si>
    <t>2025-229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</si>
</sst>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L&quot;* #,##0.00_-;\-&quot;L&quot;* #,##0.00_-;_-&quot;L&quot;* &quot;-&quot;??_-;_-@_-"/>
    <numFmt numFmtId="164" formatCode="_-[$L-480A]* #,##0.00_-;\-[$L-480A]* #,##0.00_-;_-[$L-480A]* &quot;-&quot;??_-;_-@_-"/>
    <numFmt numFmtId="165" formatCode="_-&quot;L&quot;* #,##0.000_-;\-&quot;L&quot;* #,##0.000_-;_-&quot;L&quot;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2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9" fillId="4" borderId="0" applyNumberFormat="0" applyBorder="0" applyAlignment="0" applyProtection="0"/>
    <xf numFmtId="0" fontId="10" fillId="3" borderId="0" applyNumberFormat="0" applyBorder="0" applyAlignment="0" applyProtection="0"/>
    <xf numFmtId="44" fontId="10" fillId="0" borderId="0" applyFon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0" fillId="3" borderId="3" xfId="2" applyBorder="1" applyAlignment="1">
      <alignment horizontal="center"/>
    </xf>
    <xf numFmtId="0" fontId="0" fillId="2" borderId="0" xfId="0" applyFill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12" fillId="2" borderId="3" xfId="2" applyFont="1" applyFill="1" applyBorder="1" applyAlignment="1">
      <alignment horizontal="center"/>
    </xf>
    <xf numFmtId="164" fontId="12" fillId="2" borderId="3" xfId="2" applyNumberFormat="1" applyFont="1" applyFill="1" applyBorder="1"/>
    <xf numFmtId="164" fontId="13" fillId="2" borderId="3" xfId="0" applyNumberFormat="1" applyFont="1" applyFill="1" applyBorder="1"/>
    <xf numFmtId="0" fontId="8" fillId="2" borderId="8" xfId="1" applyFont="1" applyFill="1" applyBorder="1" applyAlignment="1">
      <alignment horizontal="center"/>
    </xf>
    <xf numFmtId="0" fontId="10" fillId="3" borderId="3" xfId="2" applyBorder="1" applyAlignment="1">
      <alignment horizontal="center" vertical="center"/>
    </xf>
    <xf numFmtId="44" fontId="10" fillId="3" borderId="3" xfId="2" applyNumberFormat="1" applyBorder="1" applyAlignment="1"/>
    <xf numFmtId="44" fontId="10" fillId="3" borderId="3" xfId="3" applyFill="1" applyBorder="1" applyAlignment="1"/>
    <xf numFmtId="0" fontId="5" fillId="0" borderId="1" xfId="0" applyFont="1" applyBorder="1" applyAlignment="1">
      <alignment horizontal="center"/>
    </xf>
    <xf numFmtId="0" fontId="14" fillId="2" borderId="8" xfId="1" applyFont="1" applyFill="1" applyBorder="1" applyAlignment="1">
      <alignment horizontal="center"/>
    </xf>
    <xf numFmtId="0" fontId="4" fillId="3" borderId="6" xfId="2" applyFont="1" applyBorder="1" applyAlignment="1">
      <alignment horizontal="left" wrapText="1"/>
    </xf>
    <xf numFmtId="0" fontId="4" fillId="3" borderId="4" xfId="2" applyFont="1" applyBorder="1" applyAlignment="1">
      <alignment horizontal="left" wrapText="1"/>
    </xf>
    <xf numFmtId="0" fontId="5" fillId="3" borderId="6" xfId="2" applyFont="1" applyBorder="1" applyAlignment="1">
      <alignment horizontal="left"/>
    </xf>
    <xf numFmtId="0" fontId="5" fillId="3" borderId="4" xfId="2" applyFont="1" applyBorder="1" applyAlignment="1">
      <alignment horizontal="left"/>
    </xf>
    <xf numFmtId="0" fontId="10" fillId="3" borderId="6" xfId="2" applyBorder="1" applyAlignment="1">
      <alignment horizontal="left"/>
    </xf>
    <xf numFmtId="0" fontId="10" fillId="3" borderId="4" xfId="2" applyBorder="1" applyAlignment="1">
      <alignment horizontal="left"/>
    </xf>
    <xf numFmtId="0" fontId="0" fillId="0" borderId="2" xfId="0" applyBorder="1"/>
    <xf numFmtId="0" fontId="3" fillId="3" borderId="6" xfId="2" applyFont="1" applyBorder="1" applyAlignment="1">
      <alignment horizontal="left"/>
    </xf>
    <xf numFmtId="0" fontId="3" fillId="3" borderId="4" xfId="2" applyFont="1" applyBorder="1" applyAlignment="1">
      <alignment horizontal="left"/>
    </xf>
    <xf numFmtId="14" fontId="3" fillId="0" borderId="2" xfId="0" applyNumberFormat="1" applyFon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8" fillId="2" borderId="8" xfId="1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left"/>
    </xf>
    <xf numFmtId="1" fontId="0" fillId="0" borderId="6" xfId="0" applyNumberForma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1" fillId="3" borderId="5" xfId="2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3" borderId="5" xfId="2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44" fontId="0" fillId="3" borderId="3" xfId="2" applyNumberFormat="1" applyFont="1" applyBorder="1" applyAlignment="1"/>
    <xf numFmtId="165" fontId="10" fillId="3" borderId="3" xfId="3" applyNumberFormat="1" applyFill="1" applyBorder="1" applyAlignment="1"/>
    <xf numFmtId="0" fontId="1" fillId="0" borderId="7" xfId="0" applyFont="1" applyBorder="1" applyAlignment="1">
      <alignment horizontal="center"/>
    </xf>
    <xf numFmtId="0" fontId="1" fillId="3" borderId="6" xfId="2" applyFont="1" applyBorder="1" applyAlignment="1">
      <alignment horizontal="left"/>
    </xf>
    <xf numFmtId="0" fontId="1" fillId="3" borderId="4" xfId="2" applyFont="1" applyBorder="1" applyAlignment="1">
      <alignment horizontal="left"/>
    </xf>
    <xf numFmtId="0" fontId="1" fillId="3" borderId="6" xfId="2" applyFont="1" applyBorder="1" applyAlignment="1">
      <alignment horizontal="left" wrapText="1"/>
    </xf>
    <xf numFmtId="0" fontId="1" fillId="3" borderId="4" xfId="2" applyFont="1" applyBorder="1" applyAlignment="1">
      <alignment horizontal="left" wrapText="1"/>
    </xf>
  </cellXfs>
  <cellStyles count="4">
    <cellStyle name="20% - Énfasis2" xfId="2" builtinId="34"/>
    <cellStyle name="Énfasis2" xfId="1" builtinId="33"/>
    <cellStyle name="Moneda" xfId="3" builtinId="4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3626" y="5627266"/>
          <a:ext cx="50716" cy="334318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0</xdr:row>
      <xdr:rowOff>61934</xdr:rowOff>
    </xdr:from>
    <xdr:to>
      <xdr:col>8</xdr:col>
      <xdr:colOff>8885</xdr:colOff>
      <xdr:row>7</xdr:row>
      <xdr:rowOff>100705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61934"/>
          <a:ext cx="7285566" cy="1328309"/>
          <a:chOff x="-88431" y="32787"/>
          <a:chExt cx="6647716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8431" y="32787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493717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455119" y="0"/>
          <a:ext cx="4966616" cy="67319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581114</xdr:colOff>
      <xdr:row>2</xdr:row>
      <xdr:rowOff>99790</xdr:rowOff>
    </xdr:from>
    <xdr:to>
      <xdr:col>7</xdr:col>
      <xdr:colOff>9614</xdr:colOff>
      <xdr:row>6</xdr:row>
      <xdr:rowOff>60681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542516" y="470108"/>
          <a:ext cx="4677042" cy="7015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5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7</xdr:row>
      <xdr:rowOff>53915</xdr:rowOff>
    </xdr:from>
    <xdr:to>
      <xdr:col>7</xdr:col>
      <xdr:colOff>940037</xdr:colOff>
      <xdr:row>9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79923" y="1535186"/>
          <a:ext cx="6478675" cy="4871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1</xdr:col>
      <xdr:colOff>7400</xdr:colOff>
      <xdr:row>24</xdr:row>
      <xdr:rowOff>163794</xdr:rowOff>
    </xdr:from>
    <xdr:to>
      <xdr:col>7</xdr:col>
      <xdr:colOff>847459</xdr:colOff>
      <xdr:row>35</xdr:row>
      <xdr:rowOff>92544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156951" y="4963682"/>
          <a:ext cx="6900452" cy="338979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135214</xdr:colOff>
      <xdr:row>33</xdr:row>
      <xdr:rowOff>1228103</xdr:rowOff>
    </xdr:from>
    <xdr:to>
      <xdr:col>4</xdr:col>
      <xdr:colOff>182839</xdr:colOff>
      <xdr:row>39</xdr:row>
      <xdr:rowOff>21365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84765" y="11397598"/>
          <a:ext cx="2397719" cy="15136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Eufemio Martinez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888650</xdr:colOff>
      <xdr:row>33</xdr:row>
      <xdr:rowOff>1253501</xdr:rowOff>
    </xdr:from>
    <xdr:to>
      <xdr:col>8</xdr:col>
      <xdr:colOff>52800</xdr:colOff>
      <xdr:row>40</xdr:row>
      <xdr:rowOff>98098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88295" y="11422996"/>
          <a:ext cx="3778879" cy="1750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I53"/>
  <sheetViews>
    <sheetView tabSelected="1" view="pageLayout" zoomScale="91" zoomScaleNormal="62" zoomScaleSheetLayoutView="112" zoomScalePageLayoutView="91" workbookViewId="0">
      <selection activeCell="H7" sqref="H7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7.21875" customWidth="1"/>
    <col min="6" max="6" width="16.6640625" customWidth="1"/>
    <col min="7" max="7" width="12" customWidth="1"/>
    <col min="8" max="8" width="21.109375" customWidth="1"/>
    <col min="9" max="9" width="9.21875" customWidth="1"/>
  </cols>
  <sheetData>
    <row r="5" spans="2:9">
      <c r="H5" s="5" t="s">
        <v>10</v>
      </c>
      <c r="I5" s="1"/>
    </row>
    <row r="6" spans="2:9">
      <c r="H6" s="42" t="s">
        <v>27</v>
      </c>
    </row>
    <row r="11" spans="2:9" ht="12.6" customHeight="1">
      <c r="B11" s="29" t="s">
        <v>12</v>
      </c>
      <c r="C11" s="29"/>
      <c r="D11" s="37" t="s">
        <v>18</v>
      </c>
      <c r="E11" s="32"/>
      <c r="F11" t="s">
        <v>9</v>
      </c>
      <c r="G11" s="39" t="s">
        <v>19</v>
      </c>
      <c r="H11" s="28"/>
    </row>
    <row r="12" spans="2:9" ht="14.4" customHeight="1">
      <c r="B12" s="30" t="s">
        <v>0</v>
      </c>
      <c r="C12" s="30"/>
      <c r="D12" s="34" t="s">
        <v>17</v>
      </c>
      <c r="E12" s="35"/>
      <c r="F12" s="1" t="s">
        <v>13</v>
      </c>
      <c r="G12" s="33"/>
      <c r="H12" s="33"/>
    </row>
    <row r="13" spans="2:9">
      <c r="B13" s="1" t="s">
        <v>1</v>
      </c>
      <c r="C13" s="1" t="s">
        <v>2</v>
      </c>
      <c r="D13" s="31" t="s">
        <v>3</v>
      </c>
      <c r="E13" s="31"/>
      <c r="F13" s="29" t="s">
        <v>8</v>
      </c>
      <c r="G13" s="29"/>
      <c r="H13" s="1" t="s">
        <v>11</v>
      </c>
    </row>
    <row r="14" spans="2:9">
      <c r="B14" s="2">
        <v>45894</v>
      </c>
      <c r="C14" s="1"/>
      <c r="D14" s="24">
        <v>45898</v>
      </c>
      <c r="E14" s="25"/>
      <c r="F14" s="27"/>
      <c r="G14" s="28"/>
      <c r="H14" s="13" t="s">
        <v>16</v>
      </c>
    </row>
    <row r="15" spans="2:9" ht="15.6">
      <c r="B15" s="9" t="s">
        <v>4</v>
      </c>
      <c r="C15" s="14" t="s">
        <v>7</v>
      </c>
      <c r="D15" s="26"/>
      <c r="E15" s="26"/>
      <c r="F15" s="26"/>
      <c r="G15" s="9" t="s">
        <v>5</v>
      </c>
      <c r="H15" s="9" t="s">
        <v>6</v>
      </c>
    </row>
    <row r="16" spans="2:9">
      <c r="B16" s="3">
        <v>1</v>
      </c>
      <c r="C16" s="3">
        <v>1</v>
      </c>
      <c r="D16" s="38" t="s">
        <v>21</v>
      </c>
      <c r="E16" s="15"/>
      <c r="F16" s="16"/>
      <c r="G16" s="12">
        <v>3500</v>
      </c>
      <c r="H16" s="12">
        <f t="shared" ref="H16:H22" si="0">G16*B16*C16</f>
        <v>3500</v>
      </c>
    </row>
    <row r="17" spans="2:8" ht="16.8" customHeight="1">
      <c r="B17" s="3">
        <v>4</v>
      </c>
      <c r="C17" s="3">
        <v>1</v>
      </c>
      <c r="D17" s="38" t="s">
        <v>22</v>
      </c>
      <c r="E17" s="45"/>
      <c r="F17" s="46"/>
      <c r="G17" s="12">
        <v>250</v>
      </c>
      <c r="H17" s="12">
        <f>G17*B17</f>
        <v>1000</v>
      </c>
    </row>
    <row r="18" spans="2:8">
      <c r="B18" s="3">
        <v>1</v>
      </c>
      <c r="C18" s="10">
        <v>1</v>
      </c>
      <c r="D18" s="36" t="s">
        <v>20</v>
      </c>
      <c r="E18" s="17"/>
      <c r="F18" s="18"/>
      <c r="G18" s="11">
        <v>8000</v>
      </c>
      <c r="H18" s="12">
        <f t="shared" si="0"/>
        <v>8000</v>
      </c>
    </row>
    <row r="19" spans="2:8">
      <c r="B19" s="3">
        <v>1</v>
      </c>
      <c r="C19" s="10">
        <v>1</v>
      </c>
      <c r="D19" s="36" t="s">
        <v>23</v>
      </c>
      <c r="E19" s="22"/>
      <c r="F19" s="23"/>
      <c r="G19" s="11">
        <v>4000</v>
      </c>
      <c r="H19" s="12">
        <f t="shared" si="0"/>
        <v>4000</v>
      </c>
    </row>
    <row r="20" spans="2:8">
      <c r="B20" s="3">
        <v>13</v>
      </c>
      <c r="C20" s="10">
        <v>1</v>
      </c>
      <c r="D20" s="36" t="s">
        <v>24</v>
      </c>
      <c r="E20" s="19"/>
      <c r="F20" s="20"/>
      <c r="G20" s="11"/>
      <c r="H20" s="12">
        <f t="shared" si="0"/>
        <v>0</v>
      </c>
    </row>
    <row r="21" spans="2:8">
      <c r="B21" s="3">
        <v>1</v>
      </c>
      <c r="C21" s="3">
        <v>1</v>
      </c>
      <c r="D21" s="36" t="s">
        <v>25</v>
      </c>
      <c r="E21" s="19"/>
      <c r="F21" s="20"/>
      <c r="G21" s="40">
        <v>3000</v>
      </c>
      <c r="H21" s="41">
        <f t="shared" si="0"/>
        <v>3000</v>
      </c>
    </row>
    <row r="22" spans="2:8">
      <c r="B22" s="3">
        <v>1</v>
      </c>
      <c r="C22" s="3">
        <v>1</v>
      </c>
      <c r="D22" s="36" t="s">
        <v>26</v>
      </c>
      <c r="E22" s="19"/>
      <c r="F22" s="20"/>
      <c r="G22" s="11">
        <v>12000</v>
      </c>
      <c r="H22" s="12">
        <f t="shared" si="0"/>
        <v>12000</v>
      </c>
    </row>
    <row r="23" spans="2:8">
      <c r="B23" s="3"/>
      <c r="C23" s="3"/>
      <c r="D23" s="36"/>
      <c r="E23" s="19"/>
      <c r="F23" s="20"/>
      <c r="G23" s="11"/>
      <c r="H23" s="12"/>
    </row>
    <row r="24" spans="2:8">
      <c r="B24" s="3"/>
      <c r="C24" s="3"/>
      <c r="D24" s="36"/>
      <c r="E24" s="43"/>
      <c r="F24" s="44"/>
      <c r="G24" s="11"/>
      <c r="H24" s="12">
        <f t="shared" ref="H24" si="1">G24*B24*C24</f>
        <v>0</v>
      </c>
    </row>
    <row r="25" spans="2:8">
      <c r="D25" s="21"/>
      <c r="E25" s="21"/>
      <c r="F25" s="21"/>
      <c r="G25" s="6" t="s">
        <v>15</v>
      </c>
      <c r="H25" s="7">
        <f>SUM(H16:H24)</f>
        <v>31500</v>
      </c>
    </row>
    <row r="26" spans="2:8">
      <c r="G26" s="6" t="s">
        <v>14</v>
      </c>
      <c r="H26" s="8">
        <f>H25*0.15</f>
        <v>4725</v>
      </c>
    </row>
    <row r="27" spans="2:8">
      <c r="G27" s="6" t="s">
        <v>6</v>
      </c>
      <c r="H27" s="8">
        <f>H25+H26</f>
        <v>36225</v>
      </c>
    </row>
    <row r="34" spans="2:8" ht="126.6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1">
    <mergeCell ref="D14:E14"/>
    <mergeCell ref="D15:F15"/>
    <mergeCell ref="F14:G14"/>
    <mergeCell ref="B11:C11"/>
    <mergeCell ref="B12:C12"/>
    <mergeCell ref="D13:E13"/>
    <mergeCell ref="D11:E11"/>
    <mergeCell ref="G11:H11"/>
    <mergeCell ref="F13:G13"/>
    <mergeCell ref="G12:H12"/>
    <mergeCell ref="D12:E12"/>
    <mergeCell ref="D16:F16"/>
    <mergeCell ref="D18:F18"/>
    <mergeCell ref="D20:F20"/>
    <mergeCell ref="D25:F25"/>
    <mergeCell ref="D24:F24"/>
    <mergeCell ref="D21:F21"/>
    <mergeCell ref="D22:F22"/>
    <mergeCell ref="D23:F23"/>
    <mergeCell ref="D19:F19"/>
    <mergeCell ref="D17:F17"/>
  </mergeCells>
  <phoneticPr fontId="11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2025-08-25T23:27:32Z</cp:lastPrinted>
  <dcterms:created xsi:type="dcterms:W3CDTF">2022-10-19T19:05:00Z</dcterms:created>
  <dcterms:modified xsi:type="dcterms:W3CDTF">2025-08-25T23:31:23Z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