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9753B02E-C864-48FD-BB28-730CA1F921E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30" i="1" l="1"/>
  <c r="H31" i="1" l="1"/>
  <c r="H32" i="1" s="1"/>
</calcChain>
</file>

<file path=xl/sharedStrings.xml><?xml version="1.0" encoding="utf-8"?>
<sst xmlns="http://schemas.openxmlformats.org/spreadsheetml/2006/main" count="23" uniqueCount="22">
  <si>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</si>
  <si>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</si>
  <si>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</si>
  <si>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</si>
  <si>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</si>
  <si>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</si>
  <si>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</si>
  <si>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</si>
  <si>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</si>
  <si>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</si>
  <si>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</si>
  <si>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</si>
  <si>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</si>
  <si>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</si>
  <si>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</si>
  <si>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 xml:space="preserve">1 dia </t>
  </si>
  <si>
    <t>ISV</t>
  </si>
  <si>
    <t>SubTotal</t>
  </si>
  <si>
    <t>sps</t>
  </si>
  <si>
    <t xml:space="preserve">El Sonido del Cine </t>
  </si>
  <si>
    <t>Flete Ida y Regreso de Tegucigalpa a San Pedro Sula</t>
  </si>
  <si>
    <t>2025-209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</si>
</sst>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8" fillId="4" borderId="0" applyNumberFormat="0" applyBorder="0" applyAlignment="0" applyProtection="0"/>
    <xf numFmtId="0" fontId="9" fillId="3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9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11" fillId="2" borderId="3" xfId="2" applyFont="1" applyFill="1" applyBorder="1" applyAlignment="1">
      <alignment horizontal="center"/>
    </xf>
    <xf numFmtId="164" fontId="11" fillId="2" borderId="3" xfId="2" applyNumberFormat="1" applyFont="1" applyFill="1" applyBorder="1"/>
    <xf numFmtId="164" fontId="12" fillId="2" borderId="3" xfId="0" applyNumberFormat="1" applyFont="1" applyFill="1" applyBorder="1"/>
    <xf numFmtId="0" fontId="7" fillId="2" borderId="8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14" fontId="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164" fontId="9" fillId="3" borderId="8" xfId="2" applyNumberFormat="1" applyBorder="1" applyAlignment="1"/>
    <xf numFmtId="164" fontId="9" fillId="3" borderId="10" xfId="2" applyNumberFormat="1" applyBorder="1" applyAlignment="1"/>
    <xf numFmtId="164" fontId="9" fillId="3" borderId="9" xfId="2" applyNumberFormat="1" applyBorder="1" applyAlignment="1"/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7681" y="6477105"/>
          <a:ext cx="50716" cy="33163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254"/>
          <a:ext cx="6484034" cy="131893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7399</xdr:colOff>
      <xdr:row>29</xdr:row>
      <xdr:rowOff>160299</xdr:rowOff>
    </xdr:from>
    <xdr:to>
      <xdr:col>8</xdr:col>
      <xdr:colOff>108415</xdr:colOff>
      <xdr:row>40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2872" y="5563572"/>
          <a:ext cx="6564161" cy="252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zoomScaleNormal="110" zoomScaleSheetLayoutView="112" zoomScalePageLayoutView="107" workbookViewId="0">
      <selection activeCell="H8" sqref="H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11</v>
      </c>
      <c r="I6" s="1"/>
    </row>
    <row r="7" spans="2:9">
      <c r="H7" s="33" t="s">
        <v>21</v>
      </c>
    </row>
    <row r="12" spans="2:9" ht="12.6" customHeight="1">
      <c r="B12" s="25" t="s">
        <v>13</v>
      </c>
      <c r="C12" s="25"/>
      <c r="D12" s="27" t="s">
        <v>19</v>
      </c>
      <c r="E12" s="28"/>
      <c r="F12" t="s">
        <v>10</v>
      </c>
      <c r="G12" s="20"/>
      <c r="H12" s="20"/>
    </row>
    <row r="13" spans="2:9" ht="14.4" customHeight="1">
      <c r="B13" s="25" t="s">
        <v>0</v>
      </c>
      <c r="C13" s="25"/>
      <c r="D13" s="30" t="s">
        <v>18</v>
      </c>
      <c r="E13" s="31"/>
      <c r="F13" s="1" t="s">
        <v>14</v>
      </c>
      <c r="G13" s="29"/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9</v>
      </c>
      <c r="G14" s="24"/>
      <c r="H14" s="1" t="s">
        <v>12</v>
      </c>
    </row>
    <row r="15" spans="2:9">
      <c r="B15" s="2">
        <v>45488</v>
      </c>
      <c r="C15" s="1" t="s">
        <v>15</v>
      </c>
      <c r="D15" s="16"/>
      <c r="E15" s="17"/>
      <c r="F15" s="19"/>
      <c r="G15" s="20"/>
      <c r="H15" s="7"/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12" t="s">
        <v>7</v>
      </c>
    </row>
    <row r="17" spans="2:8">
      <c r="B17" s="4">
        <v>1</v>
      </c>
      <c r="C17" s="4">
        <v>1</v>
      </c>
      <c r="D17" s="21" t="s">
        <v>20</v>
      </c>
      <c r="E17" s="22"/>
      <c r="F17" s="23"/>
      <c r="G17" s="34">
        <v>6000</v>
      </c>
      <c r="H17" s="35">
        <f>G17</f>
        <v>6000</v>
      </c>
    </row>
    <row r="18" spans="2:8">
      <c r="B18" s="4"/>
      <c r="C18" s="4"/>
      <c r="D18" s="21"/>
      <c r="E18" s="22"/>
      <c r="F18" s="23"/>
      <c r="G18" s="35"/>
      <c r="H18" s="35"/>
    </row>
    <row r="19" spans="2:8">
      <c r="B19" s="4"/>
      <c r="C19" s="6"/>
      <c r="D19" s="21"/>
      <c r="E19" s="22"/>
      <c r="F19" s="23"/>
      <c r="G19" s="35"/>
      <c r="H19" s="35"/>
    </row>
    <row r="20" spans="2:8">
      <c r="B20" s="4"/>
      <c r="C20" s="6"/>
      <c r="D20" s="21"/>
      <c r="E20" s="22"/>
      <c r="F20" s="23"/>
      <c r="G20" s="35"/>
      <c r="H20" s="35"/>
    </row>
    <row r="21" spans="2:8">
      <c r="B21" s="4"/>
      <c r="C21" s="6"/>
      <c r="D21" s="21"/>
      <c r="E21" s="22"/>
      <c r="F21" s="23"/>
      <c r="G21" s="35"/>
      <c r="H21" s="35"/>
    </row>
    <row r="22" spans="2:8">
      <c r="B22" s="6"/>
      <c r="C22" s="6"/>
      <c r="D22" s="21"/>
      <c r="E22" s="22"/>
      <c r="F22" s="23"/>
      <c r="G22" s="35"/>
      <c r="H22" s="35"/>
    </row>
    <row r="23" spans="2:8">
      <c r="B23" s="4"/>
      <c r="C23" s="6"/>
      <c r="D23" s="21"/>
      <c r="E23" s="22"/>
      <c r="F23" s="23"/>
      <c r="G23" s="35"/>
      <c r="H23" s="35"/>
    </row>
    <row r="24" spans="2:8">
      <c r="B24" s="4"/>
      <c r="C24" s="6"/>
      <c r="D24" s="21"/>
      <c r="E24" s="22"/>
      <c r="F24" s="23"/>
      <c r="G24" s="35"/>
      <c r="H24" s="35"/>
    </row>
    <row r="25" spans="2:8">
      <c r="B25" s="4"/>
      <c r="C25" s="6"/>
      <c r="D25" s="21"/>
      <c r="E25" s="22"/>
      <c r="F25" s="23"/>
      <c r="G25" s="35"/>
      <c r="H25" s="35"/>
    </row>
    <row r="26" spans="2:8">
      <c r="B26" s="4"/>
      <c r="C26" s="6"/>
      <c r="D26" s="21"/>
      <c r="E26" s="22"/>
      <c r="F26" s="23"/>
      <c r="G26" s="35"/>
      <c r="H26" s="35"/>
    </row>
    <row r="27" spans="2:8">
      <c r="B27" s="4"/>
      <c r="C27" s="6"/>
      <c r="D27" s="21"/>
      <c r="E27" s="22"/>
      <c r="F27" s="23"/>
      <c r="G27" s="35"/>
      <c r="H27" s="35"/>
    </row>
    <row r="28" spans="2:8">
      <c r="B28" s="4"/>
      <c r="C28" s="6"/>
      <c r="D28" s="13"/>
      <c r="E28" s="14"/>
      <c r="F28" s="15"/>
      <c r="G28" s="35"/>
      <c r="H28" s="35"/>
    </row>
    <row r="29" spans="2:8">
      <c r="B29" s="4"/>
      <c r="C29" s="6"/>
      <c r="D29" s="21"/>
      <c r="E29" s="22"/>
      <c r="F29" s="23"/>
      <c r="G29" s="36"/>
      <c r="H29" s="36"/>
    </row>
    <row r="30" spans="2:8">
      <c r="D30" s="32"/>
      <c r="E30" s="32"/>
      <c r="F30" s="32"/>
      <c r="G30" s="9" t="s">
        <v>17</v>
      </c>
      <c r="H30" s="10">
        <f>SUM(H17:H29)</f>
        <v>6000</v>
      </c>
    </row>
    <row r="31" spans="2:8">
      <c r="G31" s="9" t="s">
        <v>16</v>
      </c>
      <c r="H31" s="11">
        <f>H30*0.15</f>
        <v>900</v>
      </c>
    </row>
    <row r="32" spans="2:8">
      <c r="G32" s="9" t="s">
        <v>7</v>
      </c>
      <c r="H32" s="11">
        <f>H30+H31</f>
        <v>6900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29:F29"/>
    <mergeCell ref="D26:F26"/>
    <mergeCell ref="D27:F27"/>
    <mergeCell ref="D24:F24"/>
    <mergeCell ref="D25:F25"/>
    <mergeCell ref="D21:F21"/>
    <mergeCell ref="D22:F22"/>
    <mergeCell ref="D23:F23"/>
    <mergeCell ref="D30:F30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9:F19"/>
    <mergeCell ref="D18:F18"/>
    <mergeCell ref="D20:F20"/>
  </mergeCells>
  <phoneticPr fontId="10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2025-07-16T05:48:26Z</cp:lastPrinted>
  <dcterms:created xsi:type="dcterms:W3CDTF">2022-10-19T19:05:00Z</dcterms:created>
  <dcterms:modified xsi:type="dcterms:W3CDTF">2025-07-16T05:53:51Z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