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54292DC-FFAF-404E-AFA6-2676C289F44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7" i="1"/>
  <c r="H18" i="1"/>
  <c r="H25" i="1" l="1"/>
  <c r="H26" i="1" l="1"/>
  <c r="H27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<sst xmlns="http://schemas.openxmlformats.org/spreadsheetml/2006/main" count="26" uniqueCount="25">
  <si>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</si>
  <si>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</si>
  <si>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</si>
  <si>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</si>
  <si>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</si>
  <si>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</si>
  <si>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</si>
  <si>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</si>
  <si>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</si>
  <si>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</si>
  <si>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</si>
  <si>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</si>
  <si>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</si>
  <si>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</si>
  <si>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</si>
  <si>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</si>
  <si>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</si>
  <si>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</si>
  <si>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</si>
  <si>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 xml:space="preserve">LAPCO Honduras </t>
  </si>
  <si>
    <t xml:space="preserve">Panttalla Led 2.5 x 2 metros  </t>
  </si>
  <si>
    <t xml:space="preserve">Pantalla Led  2 x 2 metros </t>
  </si>
  <si>
    <t xml:space="preserve">Pantalla Led 2.5 x 3 metros </t>
  </si>
  <si>
    <t>2025-199</t>
  </si>
  <si>
    <t xml:space="preserve">Tegucigalpa / San pedro sula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</si>
</sst>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2" applyNumberFormat="1" applyFont="1" applyBorder="1" applyAlignment="1">
      <alignment horizontal="left"/>
    </xf>
    <xf numFmtId="0" fontId="7" fillId="3" borderId="3" xfId="2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5957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24</xdr:row>
      <xdr:rowOff>35608</xdr:rowOff>
    </xdr:from>
    <xdr:to>
      <xdr:col>7</xdr:col>
      <xdr:colOff>1001484</xdr:colOff>
      <xdr:row>34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783265"/>
          <a:ext cx="6719971" cy="246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1032164</xdr:colOff>
      <xdr:row>37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3" zoomScale="120" zoomScaleNormal="110" zoomScaleSheetLayoutView="112" zoomScalePageLayoutView="120" workbookViewId="0">
      <selection activeCell="D13" sqref="D13:E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8" t="s">
        <v>12</v>
      </c>
      <c r="I6" s="1"/>
    </row>
    <row r="7" spans="2:9">
      <c r="H7" s="39" t="s">
        <v>23</v>
      </c>
    </row>
    <row r="12" spans="2:9" ht="12.6" customHeight="1">
      <c r="B12" s="28" t="s">
        <v>14</v>
      </c>
      <c r="C12" s="28"/>
      <c r="D12" s="37" t="s">
        <v>19</v>
      </c>
      <c r="E12" s="30"/>
      <c r="F12" t="s">
        <v>11</v>
      </c>
      <c r="G12" s="24" t="s">
        <v>15</v>
      </c>
      <c r="H12" s="24"/>
    </row>
    <row r="13" spans="2:9" ht="14.4" customHeight="1">
      <c r="B13" s="28" t="s">
        <v>0</v>
      </c>
      <c r="C13" s="28"/>
      <c r="D13" s="38" t="s">
        <v>24</v>
      </c>
      <c r="E13" s="32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9" t="s">
        <v>3</v>
      </c>
      <c r="E14" s="29"/>
      <c r="F14" s="27" t="s">
        <v>10</v>
      </c>
      <c r="G14" s="27"/>
      <c r="H14" s="1" t="s">
        <v>13</v>
      </c>
    </row>
    <row r="15" spans="2:9">
      <c r="B15" s="2">
        <v>45839</v>
      </c>
      <c r="C15" s="1" t="s">
        <v>18</v>
      </c>
      <c r="D15" s="18"/>
      <c r="E15" s="19"/>
      <c r="F15" s="23"/>
      <c r="G15" s="24"/>
      <c r="H15" s="7"/>
    </row>
    <row r="16" spans="2:9" ht="15.6">
      <c r="B16" s="3" t="s">
        <v>4</v>
      </c>
      <c r="C16" s="3" t="s">
        <v>8</v>
      </c>
      <c r="D16" s="20" t="s">
        <v>5</v>
      </c>
      <c r="E16" s="20"/>
      <c r="F16" s="20"/>
      <c r="G16" s="3" t="s">
        <v>6</v>
      </c>
      <c r="H16" s="16" t="s">
        <v>7</v>
      </c>
    </row>
    <row r="17" spans="2:8">
      <c r="B17" s="4">
        <v>7</v>
      </c>
      <c r="C17" s="4">
        <v>2</v>
      </c>
      <c r="D17" s="21" t="s">
        <v>21</v>
      </c>
      <c r="E17" s="22"/>
      <c r="F17" s="22"/>
      <c r="G17" s="13">
        <v>6400</v>
      </c>
      <c r="H17" s="17">
        <f>B17*G17*C17</f>
        <v>89600</v>
      </c>
    </row>
    <row r="18" spans="2:8">
      <c r="B18" s="4">
        <v>7</v>
      </c>
      <c r="C18" s="6">
        <v>2</v>
      </c>
      <c r="D18" s="25" t="s">
        <v>20</v>
      </c>
      <c r="E18" s="26"/>
      <c r="F18" s="26"/>
      <c r="G18" s="14">
        <v>8000</v>
      </c>
      <c r="H18" s="17">
        <f t="shared" ref="H18:H19" si="0">B18*G18*C18</f>
        <v>112000</v>
      </c>
    </row>
    <row r="19" spans="2:8">
      <c r="B19" s="4">
        <v>7</v>
      </c>
      <c r="C19" s="6">
        <v>2</v>
      </c>
      <c r="D19" s="21" t="s">
        <v>22</v>
      </c>
      <c r="E19" s="22"/>
      <c r="F19" s="22"/>
      <c r="G19" s="15">
        <v>12000</v>
      </c>
      <c r="H19" s="17">
        <f t="shared" si="0"/>
        <v>168000</v>
      </c>
    </row>
    <row r="20" spans="2:8">
      <c r="B20" s="4"/>
      <c r="C20" s="6"/>
      <c r="D20" s="21"/>
      <c r="E20" s="22"/>
      <c r="F20" s="22"/>
      <c r="G20" s="14"/>
      <c r="H20" s="17"/>
    </row>
    <row r="21" spans="2:8">
      <c r="B21" s="4"/>
      <c r="C21" s="6"/>
      <c r="D21" s="21"/>
      <c r="E21" s="22"/>
      <c r="F21" s="22"/>
      <c r="G21" s="14"/>
      <c r="H21" s="17"/>
    </row>
    <row r="22" spans="2:8">
      <c r="B22" s="4"/>
      <c r="C22" s="6"/>
      <c r="D22" s="33"/>
      <c r="E22" s="34"/>
      <c r="F22" s="35"/>
      <c r="G22" s="9"/>
      <c r="H22" s="17"/>
    </row>
    <row r="23" spans="2:8">
      <c r="B23" s="4"/>
      <c r="C23" s="6"/>
      <c r="D23" s="33"/>
      <c r="E23" s="34"/>
      <c r="F23" s="35"/>
      <c r="G23" s="9"/>
      <c r="H23" s="17"/>
    </row>
    <row r="24" spans="2:8">
      <c r="B24" s="4"/>
      <c r="C24" s="6"/>
      <c r="D24" s="33"/>
      <c r="E24" s="34"/>
      <c r="F24" s="35"/>
      <c r="G24" s="9"/>
      <c r="H24" s="17"/>
    </row>
    <row r="25" spans="2:8">
      <c r="D25" s="36"/>
      <c r="E25" s="36"/>
      <c r="F25" s="36"/>
      <c r="G25" s="10" t="s">
        <v>9</v>
      </c>
      <c r="H25" s="11">
        <f>SUM(H17:H24)</f>
        <v>369600</v>
      </c>
    </row>
    <row r="26" spans="2:8">
      <c r="G26" s="10" t="s">
        <v>16</v>
      </c>
      <c r="H26" s="12">
        <f>H25*0.15</f>
        <v>55440</v>
      </c>
    </row>
    <row r="27" spans="2:8">
      <c r="G27" s="10" t="s">
        <v>9</v>
      </c>
      <c r="H27" s="12">
        <f>H26+H25</f>
        <v>425040</v>
      </c>
    </row>
    <row r="34" spans="2:8" ht="62.4" customHeight="1"/>
    <row r="36" spans="2:8" ht="27.6" customHeight="1"/>
    <row r="37" spans="2:8" ht="5.4" customHeight="1">
      <c r="B37" s="5"/>
      <c r="C37" s="5"/>
      <c r="D37" s="5"/>
      <c r="E37" s="5"/>
      <c r="F37" s="5"/>
      <c r="G37" s="5"/>
      <c r="H37" s="5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1">
    <mergeCell ref="D19:F19"/>
    <mergeCell ref="D24:F24"/>
    <mergeCell ref="D25:F25"/>
    <mergeCell ref="D20:F20"/>
    <mergeCell ref="D21:F21"/>
    <mergeCell ref="D23:F23"/>
    <mergeCell ref="D22:F22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2025-07-01T19:32:44Z</cp:lastPrinted>
  <dcterms:created xsi:type="dcterms:W3CDTF">2022-10-19T19:05:00Z</dcterms:created>
  <dcterms:modified xsi:type="dcterms:W3CDTF">2025-07-02T03:28:04Z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