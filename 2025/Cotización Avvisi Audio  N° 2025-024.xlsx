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7DD66AB-44DD-490F-8CC6-7E83377AE10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19" i="1"/>
  <c r="H18" i="1"/>
  <c r="H17" i="1"/>
  <c r="H28" i="1" l="1"/>
  <c r="H30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<sst xmlns="http://schemas.openxmlformats.org/spreadsheetml/2006/main" count="27" uniqueCount="26">
  <si>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</si>
  <si>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</si>
  <si>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</si>
  <si>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</si>
  <si>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</si>
  <si>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</si>
  <si>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</si>
  <si>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</si>
  <si>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</si>
  <si>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</si>
  <si>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</si>
  <si>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</si>
  <si>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</si>
  <si>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</si>
  <si>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</si>
  <si>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</si>
  <si>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</si>
  <si>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Pantalla led 3 x 2 metros </t>
  </si>
  <si>
    <t xml:space="preserve">Totem Led 2 x 1 metros </t>
  </si>
  <si>
    <t>Microfonos sm58</t>
  </si>
  <si>
    <t>Tarima de 12 x 6.5 y 6.5 x 6.5</t>
  </si>
  <si>
    <t xml:space="preserve">Evento corporativo </t>
  </si>
  <si>
    <t xml:space="preserve">15 y 16 de febrero </t>
  </si>
  <si>
    <t xml:space="preserve">Tegucigalpa </t>
  </si>
  <si>
    <t xml:space="preserve">Excell publicidad y mercadeo </t>
  </si>
  <si>
    <t>2025-024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</si>
</sst>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44" fontId="5" fillId="3" borderId="3" xfId="3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4" fontId="5" fillId="3" borderId="3" xfId="3" applyFill="1" applyBorder="1" applyAlignment="1"/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179925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27</xdr:row>
      <xdr:rowOff>163794</xdr:rowOff>
    </xdr:from>
    <xdr:to>
      <xdr:col>6</xdr:col>
      <xdr:colOff>783365</xdr:colOff>
      <xdr:row>38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36</xdr:row>
      <xdr:rowOff>601411</xdr:rowOff>
    </xdr:from>
    <xdr:to>
      <xdr:col>4</xdr:col>
      <xdr:colOff>168596</xdr:colOff>
      <xdr:row>38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36</xdr:row>
      <xdr:rowOff>612567</xdr:rowOff>
    </xdr:from>
    <xdr:to>
      <xdr:col>7</xdr:col>
      <xdr:colOff>991200</xdr:colOff>
      <xdr:row>40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</xdr:rowOff>
    </xdr:from>
    <xdr:to>
      <xdr:col>4</xdr:col>
      <xdr:colOff>628779</xdr:colOff>
      <xdr:row>38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view="pageLayout" topLeftCell="A4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6" t="s">
        <v>12</v>
      </c>
      <c r="I6" s="1"/>
    </row>
    <row r="7" spans="2:9">
      <c r="H7" s="34" t="s">
        <v>25</v>
      </c>
    </row>
    <row r="12" spans="2:9" ht="12.6" customHeight="1">
      <c r="B12" s="20" t="s">
        <v>14</v>
      </c>
      <c r="C12" s="20"/>
      <c r="D12" s="32" t="s">
        <v>24</v>
      </c>
      <c r="E12" s="21"/>
      <c r="F12" t="s">
        <v>11</v>
      </c>
      <c r="G12" s="23" t="s">
        <v>16</v>
      </c>
      <c r="H12" s="23"/>
    </row>
    <row r="13" spans="2:9" ht="14.4" customHeight="1">
      <c r="B13" s="20" t="s">
        <v>0</v>
      </c>
      <c r="C13" s="20"/>
      <c r="D13" s="32" t="s">
        <v>23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45678</v>
      </c>
      <c r="C15" s="1"/>
      <c r="D15" s="31" t="s">
        <v>22</v>
      </c>
      <c r="E15" s="27"/>
      <c r="F15" s="30" t="s">
        <v>21</v>
      </c>
      <c r="G15" s="23"/>
      <c r="H15" s="5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10">
        <v>1</v>
      </c>
      <c r="C17" s="10">
        <v>2</v>
      </c>
      <c r="D17" s="14" t="s">
        <v>17</v>
      </c>
      <c r="E17" s="17"/>
      <c r="F17" s="18"/>
      <c r="G17" s="11">
        <v>14000</v>
      </c>
      <c r="H17" s="29">
        <f>G17*B17*C17</f>
        <v>28000</v>
      </c>
    </row>
    <row r="18" spans="2:8">
      <c r="B18" s="10">
        <v>2</v>
      </c>
      <c r="C18" s="10">
        <v>2</v>
      </c>
      <c r="D18" s="14" t="s">
        <v>18</v>
      </c>
      <c r="E18" s="17"/>
      <c r="F18" s="18"/>
      <c r="G18" s="11">
        <v>4000</v>
      </c>
      <c r="H18" s="29">
        <f>G18*B18*C18</f>
        <v>16000</v>
      </c>
    </row>
    <row r="19" spans="2:8">
      <c r="B19" s="12">
        <v>2</v>
      </c>
      <c r="C19" s="12">
        <v>2</v>
      </c>
      <c r="D19" s="14" t="s">
        <v>19</v>
      </c>
      <c r="E19" s="17"/>
      <c r="F19" s="18"/>
      <c r="G19" s="11">
        <v>500</v>
      </c>
      <c r="H19" s="29">
        <f>G19*B19*C19</f>
        <v>2000</v>
      </c>
    </row>
    <row r="20" spans="2:8">
      <c r="B20" s="12">
        <v>1</v>
      </c>
      <c r="C20" s="12">
        <v>2</v>
      </c>
      <c r="D20" s="24" t="s">
        <v>20</v>
      </c>
      <c r="E20" s="25"/>
      <c r="F20" s="26"/>
      <c r="G20" s="11">
        <v>15000</v>
      </c>
      <c r="H20" s="33">
        <v>15000</v>
      </c>
    </row>
    <row r="21" spans="2:8">
      <c r="B21" s="12"/>
      <c r="C21" s="12"/>
      <c r="D21" s="14"/>
      <c r="E21" s="17"/>
      <c r="F21" s="18"/>
      <c r="G21" s="11"/>
      <c r="H21" s="29"/>
    </row>
    <row r="22" spans="2:8">
      <c r="B22" s="12"/>
      <c r="C22" s="12"/>
      <c r="D22" s="14"/>
      <c r="E22" s="17"/>
      <c r="F22" s="18"/>
      <c r="G22" s="11"/>
      <c r="H22" s="29"/>
    </row>
    <row r="23" spans="2:8">
      <c r="B23" s="12"/>
      <c r="C23" s="12"/>
      <c r="D23" s="14"/>
      <c r="E23" s="17"/>
      <c r="F23" s="18"/>
      <c r="G23" s="11"/>
      <c r="H23" s="29"/>
    </row>
    <row r="24" spans="2:8">
      <c r="B24" s="12"/>
      <c r="C24" s="12"/>
      <c r="D24" s="14"/>
      <c r="E24" s="15"/>
      <c r="F24" s="16"/>
      <c r="G24" s="11"/>
      <c r="H24" s="29"/>
    </row>
    <row r="25" spans="2:8">
      <c r="B25" s="12"/>
      <c r="C25" s="12"/>
      <c r="D25" s="14"/>
      <c r="E25" s="15"/>
      <c r="F25" s="16"/>
      <c r="G25" s="11"/>
      <c r="H25" s="29"/>
    </row>
    <row r="26" spans="2:8">
      <c r="B26" s="10"/>
      <c r="C26" s="10"/>
      <c r="D26" s="14"/>
      <c r="E26" s="15"/>
      <c r="F26" s="16"/>
      <c r="G26" s="11"/>
      <c r="H26" s="29"/>
    </row>
    <row r="27" spans="2:8">
      <c r="B27" s="10"/>
      <c r="C27" s="10"/>
      <c r="D27" s="14"/>
      <c r="E27" s="15"/>
      <c r="F27" s="16"/>
      <c r="G27" s="11"/>
      <c r="H27" s="29"/>
    </row>
    <row r="28" spans="2:8">
      <c r="D28" s="13"/>
      <c r="E28" s="13"/>
      <c r="F28" s="13"/>
      <c r="G28" s="7" t="s">
        <v>9</v>
      </c>
      <c r="H28" s="8">
        <f>SUM(H17:H27)</f>
        <v>61000</v>
      </c>
    </row>
    <row r="29" spans="2:8">
      <c r="G29" s="7" t="s">
        <v>15</v>
      </c>
      <c r="H29" s="9">
        <f>H28*0.15</f>
        <v>9150</v>
      </c>
    </row>
    <row r="30" spans="2:8">
      <c r="G30" s="7" t="s">
        <v>9</v>
      </c>
      <c r="H30" s="9">
        <f>H29+H28</f>
        <v>70150</v>
      </c>
    </row>
    <row r="36" spans="2:8" ht="31.8" customHeight="1"/>
    <row r="37" spans="2:8" ht="73.8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3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8:F28"/>
    <mergeCell ref="D27:F27"/>
    <mergeCell ref="D23:F23"/>
    <mergeCell ref="D21:F21"/>
    <mergeCell ref="D22:F22"/>
    <mergeCell ref="D24:F24"/>
    <mergeCell ref="D25:F25"/>
    <mergeCell ref="D26:F26"/>
    <mergeCell ref="D20:F20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2025-01-18T02:02:22Z</cp:lastPrinted>
  <dcterms:created xsi:type="dcterms:W3CDTF">2022-10-19T19:05:00Z</dcterms:created>
  <dcterms:modified xsi:type="dcterms:W3CDTF">2025-01-21T19:56:32Z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