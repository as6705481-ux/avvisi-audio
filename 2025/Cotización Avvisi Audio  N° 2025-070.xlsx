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5FD5333-BAA3-4903-ABD0-15CB0FBF915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 s="1"/>
  <c r="H21" i="1" s="1"/>
</calcChain>
</file>

<file path=xl/sharedStrings.xml><?xml version="1.0" encoding="utf-8"?>
<sst xmlns="http://schemas.openxmlformats.org/spreadsheetml/2006/main" count="24" uniqueCount="24">
  <si>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</si>
  <si>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</si>
  <si>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</si>
  <si>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</si>
  <si>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</si>
  <si>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</si>
  <si>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</si>
  <si>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</si>
  <si>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</si>
  <si>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</si>
  <si>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</si>
  <si>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</si>
  <si>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</si>
  <si>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</si>
  <si>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ISV 15% </t>
  </si>
  <si>
    <t xml:space="preserve">Total </t>
  </si>
  <si>
    <t xml:space="preserve">N° Invitados </t>
  </si>
  <si>
    <t>2025-070</t>
  </si>
  <si>
    <t>Cipotes Honduras</t>
  </si>
  <si>
    <t xml:space="preserve">Tania Ulloa </t>
  </si>
  <si>
    <t xml:space="preserve">15 de febrero </t>
  </si>
  <si>
    <t>Pantalla Led 2x2</t>
  </si>
  <si>
    <t>Audio Corporativo</t>
  </si>
  <si>
    <t>San Pedro 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</si>
</sst>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6" formatCode="[$-F800]dddd\,\ mmmm\ dd\,\ yyyy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4" borderId="4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6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6" fontId="0" fillId="0" borderId="2" xfId="0" applyNumberFormat="1" applyBorder="1" applyAlignment="1">
      <alignment horizontal="center"/>
    </xf>
    <xf numFmtId="0" fontId="1" fillId="3" borderId="3" xfId="3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164" fontId="6" fillId="3" borderId="6" xfId="3" applyNumberFormat="1" applyBorder="1" applyAlignment="1">
      <alignment horizontal="center" vertical="center"/>
    </xf>
    <xf numFmtId="164" fontId="6" fillId="3" borderId="7" xfId="3" applyNumberFormat="1" applyBorder="1" applyAlignment="1">
      <alignment horizontal="center" vertical="center"/>
    </xf>
    <xf numFmtId="164" fontId="6" fillId="3" borderId="6" xfId="3" applyNumberFormat="1" applyBorder="1" applyAlignment="1">
      <alignment horizontal="center"/>
    </xf>
    <xf numFmtId="164" fontId="6" fillId="3" borderId="8" xfId="3" applyNumberForma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26</xdr:row>
      <xdr:rowOff>83925</xdr:rowOff>
    </xdr:from>
    <xdr:to>
      <xdr:col>1</xdr:col>
      <xdr:colOff>113617</xdr:colOff>
      <xdr:row>28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296" y="4776241"/>
          <a:ext cx="50716" cy="32682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848"/>
          <a:ext cx="6682154" cy="130208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1024328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0274" y="1502964"/>
          <a:ext cx="6565300" cy="479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18</xdr:row>
      <xdr:rowOff>56444</xdr:rowOff>
    </xdr:from>
    <xdr:to>
      <xdr:col>7</xdr:col>
      <xdr:colOff>1011836</xdr:colOff>
      <xdr:row>29</xdr:row>
      <xdr:rowOff>2483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852641"/>
          <a:ext cx="6733082" cy="1938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29</xdr:row>
      <xdr:rowOff>38100</xdr:rowOff>
    </xdr:from>
    <xdr:to>
      <xdr:col>4</xdr:col>
      <xdr:colOff>131445</xdr:colOff>
      <xdr:row>34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29</xdr:row>
      <xdr:rowOff>76200</xdr:rowOff>
    </xdr:from>
    <xdr:to>
      <xdr:col>7</xdr:col>
      <xdr:colOff>852805</xdr:colOff>
      <xdr:row>35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zoomScale="76" zoomScaleNormal="100" zoomScaleSheetLayoutView="112" zoomScalePageLayoutView="76" workbookViewId="0">
      <selection activeCell="H17" sqref="H17:H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6"/>
      <c r="C1" s="16"/>
      <c r="D1" s="16"/>
      <c r="E1" s="16"/>
      <c r="F1" s="16"/>
      <c r="G1" s="16"/>
      <c r="H1" s="16"/>
    </row>
    <row r="6" spans="2:9">
      <c r="H6" s="12" t="s">
        <v>13</v>
      </c>
      <c r="I6" s="1"/>
    </row>
    <row r="7" spans="2:9">
      <c r="H7" s="27" t="s">
        <v>17</v>
      </c>
    </row>
    <row r="12" spans="2:9" ht="12.6" customHeight="1">
      <c r="B12" s="17" t="s">
        <v>0</v>
      </c>
      <c r="C12" s="17"/>
      <c r="D12" s="24" t="s">
        <v>18</v>
      </c>
      <c r="E12" s="18"/>
      <c r="F12" t="s">
        <v>12</v>
      </c>
      <c r="G12" s="20" t="s">
        <v>19</v>
      </c>
      <c r="H12" s="20"/>
    </row>
    <row r="13" spans="2:9" ht="14.4" customHeight="1">
      <c r="B13" s="17" t="s">
        <v>1</v>
      </c>
      <c r="C13" s="17"/>
      <c r="D13" s="24" t="s">
        <v>23</v>
      </c>
      <c r="E13" s="18"/>
      <c r="F13" s="18"/>
      <c r="G13" s="18"/>
    </row>
    <row r="14" spans="2:9">
      <c r="B14" s="1" t="s">
        <v>2</v>
      </c>
      <c r="C14" s="1" t="s">
        <v>3</v>
      </c>
      <c r="D14" s="19" t="s">
        <v>4</v>
      </c>
      <c r="E14" s="19"/>
      <c r="F14" s="19" t="s">
        <v>11</v>
      </c>
      <c r="G14" s="19"/>
      <c r="H14" s="1" t="s">
        <v>16</v>
      </c>
    </row>
    <row r="15" spans="2:9">
      <c r="B15" s="2">
        <v>45700</v>
      </c>
      <c r="C15" s="1"/>
      <c r="D15" s="25" t="s">
        <v>20</v>
      </c>
      <c r="E15" s="25"/>
      <c r="F15" s="20"/>
      <c r="G15" s="20"/>
      <c r="H15" s="11"/>
    </row>
    <row r="16" spans="2:9" ht="15.6">
      <c r="B16" s="3" t="s">
        <v>5</v>
      </c>
      <c r="C16" s="3" t="s">
        <v>9</v>
      </c>
      <c r="D16" s="21" t="s">
        <v>6</v>
      </c>
      <c r="E16" s="21"/>
      <c r="F16" s="21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2" t="s">
        <v>21</v>
      </c>
      <c r="E17" s="15"/>
      <c r="F17" s="15"/>
      <c r="G17" s="30">
        <v>13000</v>
      </c>
      <c r="H17" s="28">
        <v>13000</v>
      </c>
    </row>
    <row r="18" spans="2:8">
      <c r="B18" s="4">
        <v>1</v>
      </c>
      <c r="C18" s="7">
        <v>1</v>
      </c>
      <c r="D18" s="26" t="s">
        <v>22</v>
      </c>
      <c r="E18" s="23"/>
      <c r="F18" s="23"/>
      <c r="G18" s="31"/>
      <c r="H18" s="29"/>
    </row>
    <row r="19" spans="2:8">
      <c r="D19" s="13"/>
      <c r="E19" s="13"/>
      <c r="F19" s="13"/>
      <c r="G19" s="8" t="s">
        <v>10</v>
      </c>
      <c r="H19" s="5">
        <f>SUM(H17:H18)</f>
        <v>13000</v>
      </c>
    </row>
    <row r="20" spans="2:8">
      <c r="D20" s="14"/>
      <c r="E20" s="14"/>
      <c r="F20" s="14"/>
      <c r="G20" s="8" t="s">
        <v>14</v>
      </c>
      <c r="H20" s="9">
        <f>H19*0.15</f>
        <v>1950</v>
      </c>
    </row>
    <row r="21" spans="2:8">
      <c r="D21" s="14"/>
      <c r="E21" s="14"/>
      <c r="F21" s="14"/>
      <c r="G21" s="8" t="s">
        <v>15</v>
      </c>
      <c r="H21" s="10">
        <f>H19+H20</f>
        <v>14950</v>
      </c>
    </row>
    <row r="32" spans="2:8" ht="26.4" customHeight="1"/>
    <row r="33" spans="2:8" ht="4.8" customHeight="1">
      <c r="B33" s="6"/>
      <c r="C33" s="6"/>
      <c r="D33" s="6"/>
      <c r="E33" s="6"/>
      <c r="F33" s="6"/>
      <c r="G33" s="6"/>
      <c r="H33" s="6"/>
    </row>
    <row r="34" spans="2:8" ht="10.8" customHeight="1"/>
    <row r="35" spans="2:8" ht="5.4" customHeight="1"/>
    <row r="36" spans="2:8" ht="2.4" customHeight="1"/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H17:H18"/>
    <mergeCell ref="G17:G18"/>
    <mergeCell ref="D15:E15"/>
    <mergeCell ref="D16:F16"/>
    <mergeCell ref="D17:F17"/>
    <mergeCell ref="D18:F18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0:F20"/>
    <mergeCell ref="D21:F21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2025-02-12T02:51:57Z</cp:lastPrinted>
  <dcterms:created xsi:type="dcterms:W3CDTF">2022-10-19T19:05:00Z</dcterms:created>
  <dcterms:modified xsi:type="dcterms:W3CDTF">2025-02-12T18:11:28Z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