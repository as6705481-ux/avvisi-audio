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3859285C-6727-42FC-8CC2-B640ECCB06B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/>
  <c r="H28" i="1"/>
  <c r="H29" i="1"/>
  <c r="H24" i="1"/>
  <c r="H22" i="1"/>
  <c r="H23" i="1"/>
  <c r="H21" i="1"/>
  <c r="H18" i="1"/>
  <c r="H19" i="1"/>
  <c r="H20" i="1"/>
  <c r="H17" i="1"/>
  <c r="H25" i="1" l="1"/>
  <c r="H30" i="1" s="1"/>
  <c r="H31" i="1" s="1"/>
  <c r="H32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<sst xmlns="http://schemas.openxmlformats.org/spreadsheetml/2006/main" count="36" uniqueCount="35">
  <si>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</si>
  <si>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</si>
  <si>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</si>
  <si>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</si>
  <si>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</si>
  <si>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</si>
  <si>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</si>
  <si>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</si>
  <si>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</si>
  <si>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</si>
  <si>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</si>
  <si>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</si>
  <si>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</si>
  <si>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</si>
  <si>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</si>
  <si>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</si>
  <si>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</si>
  <si>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</si>
  <si>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</si>
  <si>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 xml:space="preserve">Tegucigalpa / San pedro sula </t>
  </si>
  <si>
    <t>Audio profesional</t>
  </si>
  <si>
    <t>Microfonos de Diadema</t>
  </si>
  <si>
    <t>Microfonos inalambrimos sm58</t>
  </si>
  <si>
    <t xml:space="preserve">Sillas cocteleras </t>
  </si>
  <si>
    <t xml:space="preserve">Refrescos en Lata </t>
  </si>
  <si>
    <t>Mesero</t>
  </si>
  <si>
    <t>Hielera con hielo</t>
  </si>
  <si>
    <t xml:space="preserve">Cliente Final </t>
  </si>
  <si>
    <t>2025-200</t>
  </si>
  <si>
    <t>Cocteles</t>
  </si>
  <si>
    <t>Bandejas de boquitas 4 piezas</t>
  </si>
  <si>
    <t xml:space="preserve">trus de 2 metros con soporte en negro </t>
  </si>
  <si>
    <t>Backing 3.60 x2.50</t>
  </si>
  <si>
    <t xml:space="preserve">Tarima 3.75x3.75 forrado de blanco  </t>
  </si>
  <si>
    <t xml:space="preserve">Mesas Cocteleras licra negra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</si>
</sst>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1" fillId="0" borderId="0" xfId="0" applyFont="1"/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3" xfId="2" applyNumberFormat="1" applyFont="1" applyBorder="1" applyAlignment="1">
      <alignment horizontal="left"/>
    </xf>
    <xf numFmtId="0" fontId="7" fillId="3" borderId="3" xfId="2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164" fontId="0" fillId="3" borderId="3" xfId="2" applyNumberFormat="1" applyFont="1" applyBorder="1" applyAlignment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987" y="6508373"/>
          <a:ext cx="50716" cy="33374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305"/>
          <a:ext cx="6682154" cy="1326288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1001484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783265"/>
          <a:ext cx="6719971" cy="246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15" zoomScale="116" zoomScaleNormal="110" zoomScaleSheetLayoutView="112" zoomScalePageLayoutView="116" workbookViewId="0">
      <selection activeCell="B15" sqref="B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2"/>
      <c r="C1" s="32"/>
      <c r="D1" s="32"/>
      <c r="E1" s="32"/>
      <c r="F1" s="32"/>
      <c r="G1" s="32"/>
      <c r="H1" s="32"/>
    </row>
    <row r="6" spans="2:9">
      <c r="H6" s="8" t="s">
        <v>12</v>
      </c>
      <c r="I6" s="1"/>
    </row>
    <row r="7" spans="2:9">
      <c r="H7" s="21" t="s">
        <v>28</v>
      </c>
    </row>
    <row r="12" spans="2:9" ht="12.6" customHeight="1">
      <c r="B12" s="33" t="s">
        <v>14</v>
      </c>
      <c r="C12" s="33"/>
      <c r="D12" s="35" t="s">
        <v>27</v>
      </c>
      <c r="E12" s="36"/>
      <c r="F12" t="s">
        <v>11</v>
      </c>
      <c r="G12" s="29" t="s">
        <v>15</v>
      </c>
      <c r="H12" s="29"/>
    </row>
    <row r="13" spans="2:9" ht="14.4" customHeight="1">
      <c r="B13" s="33" t="s">
        <v>0</v>
      </c>
      <c r="C13" s="33"/>
      <c r="D13" s="38" t="s">
        <v>19</v>
      </c>
      <c r="E13" s="39"/>
      <c r="F13" s="1" t="s">
        <v>17</v>
      </c>
      <c r="G13" s="37"/>
      <c r="H13" s="37"/>
    </row>
    <row r="14" spans="2:9">
      <c r="B14" s="1" t="s">
        <v>1</v>
      </c>
      <c r="C14" s="1" t="s">
        <v>2</v>
      </c>
      <c r="D14" s="34" t="s">
        <v>3</v>
      </c>
      <c r="E14" s="34"/>
      <c r="F14" s="32" t="s">
        <v>10</v>
      </c>
      <c r="G14" s="32"/>
      <c r="H14" s="1" t="s">
        <v>13</v>
      </c>
    </row>
    <row r="15" spans="2:9">
      <c r="B15" s="2">
        <v>45852</v>
      </c>
      <c r="C15" s="1" t="s">
        <v>18</v>
      </c>
      <c r="D15" s="23"/>
      <c r="E15" s="24"/>
      <c r="F15" s="28"/>
      <c r="G15" s="29"/>
      <c r="H15" s="7"/>
    </row>
    <row r="16" spans="2:9" ht="15.6">
      <c r="B16" s="3" t="s">
        <v>4</v>
      </c>
      <c r="C16" s="3" t="s">
        <v>8</v>
      </c>
      <c r="D16" s="25" t="s">
        <v>5</v>
      </c>
      <c r="E16" s="25"/>
      <c r="F16" s="25"/>
      <c r="G16" s="3" t="s">
        <v>6</v>
      </c>
      <c r="H16" s="16" t="s">
        <v>7</v>
      </c>
    </row>
    <row r="17" spans="2:9">
      <c r="B17" s="4">
        <v>1</v>
      </c>
      <c r="C17" s="4">
        <v>1</v>
      </c>
      <c r="D17" s="26" t="s">
        <v>32</v>
      </c>
      <c r="E17" s="27"/>
      <c r="F17" s="27"/>
      <c r="G17" s="13">
        <v>7000</v>
      </c>
      <c r="H17" s="17">
        <f>G17*C17*B17</f>
        <v>7000</v>
      </c>
    </row>
    <row r="18" spans="2:9">
      <c r="B18" s="4">
        <v>1</v>
      </c>
      <c r="C18" s="6">
        <v>1</v>
      </c>
      <c r="D18" s="30" t="s">
        <v>20</v>
      </c>
      <c r="E18" s="31"/>
      <c r="F18" s="31"/>
      <c r="G18" s="14">
        <v>7000</v>
      </c>
      <c r="H18" s="17">
        <f t="shared" ref="H18:H20" si="0">G18*C18*B18</f>
        <v>7000</v>
      </c>
    </row>
    <row r="19" spans="2:9">
      <c r="B19" s="4">
        <v>2</v>
      </c>
      <c r="C19" s="6">
        <v>1</v>
      </c>
      <c r="D19" s="26" t="s">
        <v>21</v>
      </c>
      <c r="E19" s="27"/>
      <c r="F19" s="27"/>
      <c r="G19" s="15"/>
      <c r="H19" s="17">
        <f t="shared" si="0"/>
        <v>0</v>
      </c>
      <c r="I19" s="22"/>
    </row>
    <row r="20" spans="2:9">
      <c r="B20" s="4">
        <v>2</v>
      </c>
      <c r="C20" s="6">
        <v>1</v>
      </c>
      <c r="D20" s="26" t="s">
        <v>22</v>
      </c>
      <c r="E20" s="27"/>
      <c r="F20" s="27"/>
      <c r="G20" s="14">
        <v>500</v>
      </c>
      <c r="H20" s="17">
        <f t="shared" si="0"/>
        <v>1000</v>
      </c>
    </row>
    <row r="21" spans="2:9">
      <c r="B21" s="4">
        <v>1</v>
      </c>
      <c r="C21" s="6">
        <v>1</v>
      </c>
      <c r="D21" s="26" t="s">
        <v>31</v>
      </c>
      <c r="E21" s="27"/>
      <c r="F21" s="27"/>
      <c r="G21" s="14">
        <v>1000</v>
      </c>
      <c r="H21" s="17">
        <f>G21*C21*B21</f>
        <v>1000</v>
      </c>
    </row>
    <row r="22" spans="2:9">
      <c r="B22" s="4">
        <v>1</v>
      </c>
      <c r="C22" s="6">
        <v>1</v>
      </c>
      <c r="D22" s="40" t="s">
        <v>33</v>
      </c>
      <c r="E22" s="41"/>
      <c r="F22" s="42"/>
      <c r="G22" s="9">
        <v>5000</v>
      </c>
      <c r="H22" s="17">
        <f>G22*C22*B22</f>
        <v>5000</v>
      </c>
    </row>
    <row r="23" spans="2:9">
      <c r="B23" s="4">
        <v>10</v>
      </c>
      <c r="C23" s="6">
        <v>1</v>
      </c>
      <c r="D23" s="40" t="s">
        <v>34</v>
      </c>
      <c r="E23" s="41"/>
      <c r="F23" s="42"/>
      <c r="G23" s="9">
        <v>500</v>
      </c>
      <c r="H23" s="17">
        <f t="shared" ref="H23" si="1">G23*C23*B23</f>
        <v>5000</v>
      </c>
    </row>
    <row r="24" spans="2:9">
      <c r="B24" s="4">
        <v>30</v>
      </c>
      <c r="C24" s="6">
        <v>1</v>
      </c>
      <c r="D24" s="40" t="s">
        <v>23</v>
      </c>
      <c r="E24" s="41"/>
      <c r="F24" s="42"/>
      <c r="G24" s="9">
        <v>200</v>
      </c>
      <c r="H24" s="17">
        <f>G24*C24*B24</f>
        <v>6000</v>
      </c>
    </row>
    <row r="25" spans="2:9">
      <c r="B25" s="4">
        <v>40</v>
      </c>
      <c r="C25" s="6">
        <v>1</v>
      </c>
      <c r="D25" s="18" t="s">
        <v>30</v>
      </c>
      <c r="E25" s="19"/>
      <c r="F25" s="20"/>
      <c r="G25" s="44">
        <v>150</v>
      </c>
      <c r="H25" s="17">
        <f>G25*C25*B25</f>
        <v>6000</v>
      </c>
    </row>
    <row r="26" spans="2:9">
      <c r="B26" s="4">
        <v>80</v>
      </c>
      <c r="C26" s="6">
        <v>1</v>
      </c>
      <c r="D26" s="18" t="s">
        <v>24</v>
      </c>
      <c r="E26" s="19"/>
      <c r="F26" s="20"/>
      <c r="G26" s="9">
        <v>25</v>
      </c>
      <c r="H26" s="17">
        <f t="shared" ref="H26:H28" si="2">G26*C26*B26</f>
        <v>2000</v>
      </c>
    </row>
    <row r="27" spans="2:9">
      <c r="B27" s="4">
        <v>1</v>
      </c>
      <c r="C27" s="6">
        <v>1</v>
      </c>
      <c r="D27" s="40" t="s">
        <v>26</v>
      </c>
      <c r="E27" s="41"/>
      <c r="F27" s="42"/>
      <c r="G27" s="9">
        <v>500</v>
      </c>
      <c r="H27" s="17">
        <f t="shared" si="2"/>
        <v>500</v>
      </c>
    </row>
    <row r="28" spans="2:9">
      <c r="B28" s="4">
        <v>40</v>
      </c>
      <c r="C28" s="6">
        <v>1</v>
      </c>
      <c r="D28" s="40" t="s">
        <v>29</v>
      </c>
      <c r="E28" s="41"/>
      <c r="F28" s="42"/>
      <c r="G28" s="9">
        <v>150</v>
      </c>
      <c r="H28" s="17">
        <f t="shared" si="2"/>
        <v>6000</v>
      </c>
    </row>
    <row r="29" spans="2:9">
      <c r="B29" s="4">
        <v>2</v>
      </c>
      <c r="C29" s="6">
        <v>1</v>
      </c>
      <c r="D29" s="40" t="s">
        <v>25</v>
      </c>
      <c r="E29" s="41"/>
      <c r="F29" s="42"/>
      <c r="G29" s="9">
        <v>1000</v>
      </c>
      <c r="H29" s="17">
        <f>G29*C29*B29</f>
        <v>2000</v>
      </c>
    </row>
    <row r="30" spans="2:9">
      <c r="D30" s="43"/>
      <c r="E30" s="43"/>
      <c r="F30" s="43"/>
      <c r="G30" s="10" t="s">
        <v>9</v>
      </c>
      <c r="H30" s="11">
        <f>SUM(H17:H29)</f>
        <v>48500</v>
      </c>
    </row>
    <row r="31" spans="2:9">
      <c r="G31" s="10" t="s">
        <v>16</v>
      </c>
      <c r="H31" s="12">
        <f>H30*0.15</f>
        <v>7275</v>
      </c>
    </row>
    <row r="32" spans="2:9">
      <c r="G32" s="10" t="s">
        <v>9</v>
      </c>
      <c r="H32" s="12">
        <f>H31+H30</f>
        <v>55775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4">
    <mergeCell ref="D19:F19"/>
    <mergeCell ref="D29:F29"/>
    <mergeCell ref="D30:F30"/>
    <mergeCell ref="D20:F20"/>
    <mergeCell ref="D21:F21"/>
    <mergeCell ref="D22:F22"/>
    <mergeCell ref="D28:F28"/>
    <mergeCell ref="D27:F27"/>
    <mergeCell ref="D23:F23"/>
    <mergeCell ref="D24:F24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2025-07-09T00:37:51Z</cp:lastPrinted>
  <dcterms:created xsi:type="dcterms:W3CDTF">2022-10-19T19:05:00Z</dcterms:created>
  <dcterms:modified xsi:type="dcterms:W3CDTF">2025-07-14T18:42:32Z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