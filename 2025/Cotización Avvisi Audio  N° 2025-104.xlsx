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26266D5-850D-4837-B98F-D99CF4E7C56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<sst xmlns="http://schemas.openxmlformats.org/spreadsheetml/2006/main" count="33" uniqueCount="32">
  <si>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</si>
  <si>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</si>
  <si>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</si>
  <si>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</si>
  <si>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</si>
  <si>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</si>
  <si>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</si>
  <si>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</si>
  <si>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</si>
  <si>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</si>
  <si>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</si>
  <si>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</si>
  <si>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</si>
  <si>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</si>
  <si>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</si>
  <si>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</si>
  <si>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</si>
  <si>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</si>
  <si>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Marco Calix </t>
  </si>
  <si>
    <t xml:space="preserve">ONG </t>
  </si>
  <si>
    <t xml:space="preserve">Cabina de fotosInfinito </t>
  </si>
  <si>
    <t xml:space="preserve">Audio extra para polache </t>
  </si>
  <si>
    <t xml:space="preserve">Pantalla 3 x 2 </t>
  </si>
  <si>
    <t xml:space="preserve">Totems led </t>
  </si>
  <si>
    <t xml:space="preserve">Audio para conferencia </t>
  </si>
  <si>
    <t xml:space="preserve">Audio para terraza </t>
  </si>
  <si>
    <t xml:space="preserve">Tarima para conferencia en blanco </t>
  </si>
  <si>
    <t xml:space="preserve">Tarima para musicos en negro </t>
  </si>
  <si>
    <t xml:space="preserve">Televisores de 50 pulgadas </t>
  </si>
  <si>
    <t xml:space="preserve">Luces roboticas </t>
  </si>
  <si>
    <t xml:space="preserve">San Pedro </t>
  </si>
  <si>
    <t>2025-104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</si>
</sst>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2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1" t="s">
        <v>31</v>
      </c>
    </row>
    <row r="12" spans="2:9" ht="12.6" customHeight="1">
      <c r="B12" s="24" t="s">
        <v>14</v>
      </c>
      <c r="C12" s="24"/>
      <c r="D12" s="32" t="s">
        <v>18</v>
      </c>
      <c r="E12" s="25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2" t="s">
        <v>30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/>
      <c r="C15" s="1" t="s">
        <v>17</v>
      </c>
      <c r="D15" s="33"/>
      <c r="E15" s="18"/>
      <c r="F15" s="34" t="s">
        <v>19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20</v>
      </c>
      <c r="E17" s="21"/>
      <c r="F17" s="21"/>
      <c r="G17" s="13">
        <v>20000</v>
      </c>
      <c r="H17" s="17">
        <f>B17*G17*C17</f>
        <v>20000</v>
      </c>
    </row>
    <row r="18" spans="2:8">
      <c r="B18" s="4">
        <v>1</v>
      </c>
      <c r="C18" s="6">
        <v>1</v>
      </c>
      <c r="D18" s="20" t="s">
        <v>21</v>
      </c>
      <c r="E18" s="21"/>
      <c r="F18" s="21"/>
      <c r="G18" s="14">
        <v>2800</v>
      </c>
      <c r="H18" s="17">
        <f t="shared" ref="H18:H29" si="0">B18*G18*C18</f>
        <v>2800</v>
      </c>
    </row>
    <row r="19" spans="2:8">
      <c r="B19" s="4">
        <v>1</v>
      </c>
      <c r="C19" s="6">
        <v>1</v>
      </c>
      <c r="D19" s="20" t="s">
        <v>22</v>
      </c>
      <c r="E19" s="21"/>
      <c r="F19" s="21"/>
      <c r="G19" s="15">
        <v>8000</v>
      </c>
      <c r="H19" s="17">
        <f t="shared" si="0"/>
        <v>8000</v>
      </c>
    </row>
    <row r="20" spans="2:8">
      <c r="B20" s="4">
        <v>8</v>
      </c>
      <c r="C20" s="6">
        <v>1</v>
      </c>
      <c r="D20" s="20" t="s">
        <v>23</v>
      </c>
      <c r="E20" s="21"/>
      <c r="F20" s="21"/>
      <c r="G20" s="14">
        <v>2500</v>
      </c>
      <c r="H20" s="17">
        <f t="shared" si="0"/>
        <v>20000</v>
      </c>
    </row>
    <row r="21" spans="2:8">
      <c r="B21" s="4">
        <v>1</v>
      </c>
      <c r="C21" s="6">
        <v>1</v>
      </c>
      <c r="D21" s="20" t="s">
        <v>24</v>
      </c>
      <c r="E21" s="21"/>
      <c r="F21" s="21"/>
      <c r="G21" s="14">
        <v>3000</v>
      </c>
      <c r="H21" s="17">
        <f t="shared" si="0"/>
        <v>3000</v>
      </c>
    </row>
    <row r="22" spans="2:8">
      <c r="B22" s="6">
        <v>1</v>
      </c>
      <c r="C22" s="6">
        <v>1</v>
      </c>
      <c r="D22" s="20" t="s">
        <v>25</v>
      </c>
      <c r="E22" s="21"/>
      <c r="F22" s="21"/>
      <c r="G22" s="14">
        <v>3000</v>
      </c>
      <c r="H22" s="17">
        <f t="shared" si="0"/>
        <v>3000</v>
      </c>
    </row>
    <row r="23" spans="2:8">
      <c r="B23" s="4">
        <v>1</v>
      </c>
      <c r="C23" s="6">
        <v>1</v>
      </c>
      <c r="D23" s="27" t="s">
        <v>26</v>
      </c>
      <c r="E23" s="28"/>
      <c r="F23" s="29"/>
      <c r="G23" s="14">
        <v>6000</v>
      </c>
      <c r="H23" s="17">
        <f t="shared" si="0"/>
        <v>6000</v>
      </c>
    </row>
    <row r="24" spans="2:8">
      <c r="B24" s="4">
        <v>1</v>
      </c>
      <c r="C24" s="6">
        <v>1</v>
      </c>
      <c r="D24" s="27" t="s">
        <v>27</v>
      </c>
      <c r="E24" s="28"/>
      <c r="F24" s="29"/>
      <c r="G24" s="14">
        <v>4500</v>
      </c>
      <c r="H24" s="17">
        <f t="shared" si="0"/>
        <v>4500</v>
      </c>
    </row>
    <row r="25" spans="2:8">
      <c r="B25" s="4">
        <v>6</v>
      </c>
      <c r="C25" s="6">
        <v>1</v>
      </c>
      <c r="D25" s="27" t="s">
        <v>28</v>
      </c>
      <c r="E25" s="28"/>
      <c r="F25" s="29"/>
      <c r="G25" s="14">
        <v>1400</v>
      </c>
      <c r="H25" s="17">
        <f t="shared" si="0"/>
        <v>8400</v>
      </c>
    </row>
    <row r="26" spans="2:8">
      <c r="B26" s="4">
        <v>2</v>
      </c>
      <c r="C26" s="6">
        <v>1</v>
      </c>
      <c r="D26" s="27" t="s">
        <v>29</v>
      </c>
      <c r="E26" s="28"/>
      <c r="F26" s="29"/>
      <c r="G26" s="9">
        <v>1000</v>
      </c>
      <c r="H26" s="17">
        <f t="shared" si="0"/>
        <v>2000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77700</v>
      </c>
    </row>
    <row r="31" spans="2:8">
      <c r="G31" s="10" t="s">
        <v>16</v>
      </c>
      <c r="H31" s="12">
        <f>H30*0.15</f>
        <v>11655</v>
      </c>
    </row>
    <row r="32" spans="2:8">
      <c r="G32" s="10" t="s">
        <v>9</v>
      </c>
      <c r="H32" s="12">
        <f>H31+H30</f>
        <v>89355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2025-03-20T05:11:14Z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