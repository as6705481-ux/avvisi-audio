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15D48347-33B2-4B94-92B7-E06A58FACBFE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H21" i="1"/>
  <c r="H22" i="1"/>
  <c r="H20" i="1"/>
  <c r="H31" i="1" l="1"/>
  <c r="H32" i="1" l="1"/>
  <c r="H33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<sst xmlns="http://schemas.openxmlformats.org/spreadsheetml/2006/main" count="29" uniqueCount="28">
  <si>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</si>
  <si>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</si>
  <si>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</si>
  <si>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</si>
  <si>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</si>
  <si>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</si>
  <si>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</si>
  <si>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</si>
  <si>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</si>
  <si>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</si>
  <si>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</si>
  <si>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</si>
  <si>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</si>
  <si>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</si>
  <si>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</si>
  <si>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</si>
  <si>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</si>
  <si>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</si>
  <si>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1 dia </t>
  </si>
  <si>
    <t>Evento de Marca</t>
  </si>
  <si>
    <t>Tegucigalpa</t>
  </si>
  <si>
    <t>Pantalla led 2 x 1.5 m</t>
  </si>
  <si>
    <t xml:space="preserve">parlantes JBL dobles </t>
  </si>
  <si>
    <t xml:space="preserve">Microfonos inalambricos </t>
  </si>
  <si>
    <t xml:space="preserve">Luces led </t>
  </si>
  <si>
    <t xml:space="preserve">22  de Agosto </t>
  </si>
  <si>
    <t>Hondumares S A</t>
  </si>
  <si>
    <t>2025-219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</si>
</sst>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2" xfId="0" applyBorder="1"/>
    <xf numFmtId="164" fontId="7" fillId="3" borderId="10" xfId="2" applyNumberFormat="1" applyBorder="1" applyAlignment="1">
      <alignment horizontal="center" vertical="center"/>
    </xf>
    <xf numFmtId="164" fontId="7" fillId="3" borderId="9" xfId="2" applyNumberForma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0636" y="6786415"/>
          <a:ext cx="50716" cy="33910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986"/>
          <a:ext cx="6487766" cy="1345057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1032164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zoomScale="98" zoomScaleNormal="98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7"/>
      <c r="C1" s="27"/>
      <c r="D1" s="27"/>
      <c r="E1" s="27"/>
      <c r="F1" s="27"/>
      <c r="G1" s="27"/>
      <c r="H1" s="27"/>
    </row>
    <row r="6" spans="2:9">
      <c r="H6" s="8" t="s">
        <v>12</v>
      </c>
      <c r="I6" s="1"/>
    </row>
    <row r="7" spans="2:9">
      <c r="H7" s="39" t="s">
        <v>27</v>
      </c>
    </row>
    <row r="12" spans="2:9" ht="12.6" customHeight="1">
      <c r="B12" s="28" t="s">
        <v>14</v>
      </c>
      <c r="C12" s="28"/>
      <c r="D12" s="38" t="s">
        <v>26</v>
      </c>
      <c r="E12" s="30"/>
      <c r="F12" t="s">
        <v>11</v>
      </c>
      <c r="G12" s="23" t="s">
        <v>15</v>
      </c>
      <c r="H12" s="23"/>
    </row>
    <row r="13" spans="2:9" ht="14.4" customHeight="1">
      <c r="B13" s="28" t="s">
        <v>0</v>
      </c>
      <c r="C13" s="28"/>
      <c r="D13" s="32" t="s">
        <v>20</v>
      </c>
      <c r="E13" s="33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9" t="s">
        <v>3</v>
      </c>
      <c r="E14" s="29"/>
      <c r="F14" s="27" t="s">
        <v>10</v>
      </c>
      <c r="G14" s="27"/>
      <c r="H14" s="1" t="s">
        <v>13</v>
      </c>
    </row>
    <row r="15" spans="2:9">
      <c r="B15" s="2">
        <v>45488</v>
      </c>
      <c r="C15" s="1" t="s">
        <v>18</v>
      </c>
      <c r="D15" s="37" t="s">
        <v>25</v>
      </c>
      <c r="E15" s="18"/>
      <c r="F15" s="22" t="s">
        <v>19</v>
      </c>
      <c r="G15" s="23"/>
      <c r="H15" s="7">
        <v>300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21</v>
      </c>
      <c r="E17" s="21"/>
      <c r="F17" s="21"/>
      <c r="G17" s="13"/>
      <c r="H17" s="35">
        <v>7500</v>
      </c>
    </row>
    <row r="18" spans="2:8">
      <c r="B18" s="4">
        <v>2</v>
      </c>
      <c r="C18" s="4">
        <v>1</v>
      </c>
      <c r="D18" s="24" t="s">
        <v>22</v>
      </c>
      <c r="E18" s="25"/>
      <c r="F18" s="26"/>
      <c r="G18" s="13"/>
      <c r="H18" s="35"/>
    </row>
    <row r="19" spans="2:8">
      <c r="B19" s="4">
        <v>2</v>
      </c>
      <c r="C19" s="6">
        <v>1</v>
      </c>
      <c r="D19" s="20" t="s">
        <v>23</v>
      </c>
      <c r="E19" s="21"/>
      <c r="F19" s="21"/>
      <c r="G19" s="15"/>
      <c r="H19" s="36"/>
    </row>
    <row r="20" spans="2:8">
      <c r="B20" s="4">
        <v>6</v>
      </c>
      <c r="C20" s="6">
        <v>1</v>
      </c>
      <c r="D20" s="20" t="s">
        <v>24</v>
      </c>
      <c r="E20" s="21"/>
      <c r="F20" s="21"/>
      <c r="G20" s="14"/>
      <c r="H20" s="17">
        <f t="shared" ref="H19:H24" si="0">B20*G20*C20</f>
        <v>0</v>
      </c>
    </row>
    <row r="21" spans="2:8">
      <c r="B21" s="4"/>
      <c r="C21" s="6"/>
      <c r="D21" s="20"/>
      <c r="E21" s="21"/>
      <c r="F21" s="21"/>
      <c r="G21" s="14"/>
      <c r="H21" s="17">
        <f t="shared" si="0"/>
        <v>0</v>
      </c>
    </row>
    <row r="22" spans="2:8">
      <c r="B22" s="6"/>
      <c r="C22" s="6"/>
      <c r="D22" s="20"/>
      <c r="E22" s="21"/>
      <c r="F22" s="21"/>
      <c r="G22" s="14"/>
      <c r="H22" s="17">
        <f t="shared" si="0"/>
        <v>0</v>
      </c>
    </row>
    <row r="23" spans="2:8">
      <c r="B23" s="4"/>
      <c r="C23" s="6"/>
      <c r="D23" s="24"/>
      <c r="E23" s="25"/>
      <c r="F23" s="26"/>
      <c r="G23" s="14"/>
      <c r="H23" s="17">
        <f t="shared" si="0"/>
        <v>0</v>
      </c>
    </row>
    <row r="24" spans="2:8">
      <c r="B24" s="4"/>
      <c r="C24" s="6"/>
      <c r="D24" s="24"/>
      <c r="E24" s="25"/>
      <c r="F24" s="26"/>
      <c r="G24" s="14"/>
      <c r="H24" s="17">
        <f t="shared" si="0"/>
        <v>0</v>
      </c>
    </row>
    <row r="25" spans="2:8">
      <c r="B25" s="4"/>
      <c r="C25" s="6"/>
      <c r="D25" s="24"/>
      <c r="E25" s="25"/>
      <c r="F25" s="26"/>
      <c r="G25" s="14"/>
      <c r="H25" s="17"/>
    </row>
    <row r="26" spans="2:8">
      <c r="B26" s="4"/>
      <c r="C26" s="6"/>
      <c r="D26" s="24"/>
      <c r="E26" s="25"/>
      <c r="F26" s="26"/>
      <c r="G26" s="9"/>
      <c r="H26" s="17"/>
    </row>
    <row r="27" spans="2:8">
      <c r="B27" s="4"/>
      <c r="C27" s="6"/>
      <c r="D27" s="24"/>
      <c r="E27" s="25"/>
      <c r="F27" s="26"/>
      <c r="G27" s="9"/>
      <c r="H27" s="17"/>
    </row>
    <row r="28" spans="2:8">
      <c r="B28" s="4"/>
      <c r="C28" s="6"/>
      <c r="D28" s="24"/>
      <c r="E28" s="25"/>
      <c r="F28" s="26"/>
      <c r="G28" s="9"/>
      <c r="H28" s="17"/>
    </row>
    <row r="29" spans="2:8">
      <c r="B29" s="4"/>
      <c r="C29" s="6"/>
      <c r="D29" s="24"/>
      <c r="E29" s="25"/>
      <c r="F29" s="26"/>
      <c r="G29" s="9"/>
      <c r="H29" s="17"/>
    </row>
    <row r="30" spans="2:8">
      <c r="B30" s="4"/>
      <c r="C30" s="6"/>
      <c r="D30" s="24"/>
      <c r="E30" s="25"/>
      <c r="F30" s="26"/>
      <c r="G30" s="9"/>
      <c r="H30" s="17"/>
    </row>
    <row r="31" spans="2:8">
      <c r="D31" s="34"/>
      <c r="E31" s="34"/>
      <c r="F31" s="34"/>
      <c r="G31" s="10" t="s">
        <v>9</v>
      </c>
      <c r="H31" s="11">
        <f>SUM(H17:H30)</f>
        <v>7500</v>
      </c>
    </row>
    <row r="32" spans="2:8">
      <c r="G32" s="10" t="s">
        <v>16</v>
      </c>
      <c r="H32" s="12">
        <f>H31*0.15</f>
        <v>1125</v>
      </c>
    </row>
    <row r="33" spans="2:8">
      <c r="G33" s="10" t="s">
        <v>9</v>
      </c>
      <c r="H33" s="12">
        <f>H32+H31</f>
        <v>8625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8">
    <mergeCell ref="H17:H19"/>
    <mergeCell ref="D20:F20"/>
    <mergeCell ref="D30:F30"/>
    <mergeCell ref="D31:F31"/>
    <mergeCell ref="D24:F24"/>
    <mergeCell ref="D23:F23"/>
    <mergeCell ref="D21:F21"/>
    <mergeCell ref="D22:F22"/>
    <mergeCell ref="D29:F29"/>
    <mergeCell ref="D26:F26"/>
    <mergeCell ref="D25:F25"/>
    <mergeCell ref="D28:F28"/>
    <mergeCell ref="D27:F2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9:F19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2025-08-15T18:47:09Z</cp:lastPrinted>
  <dcterms:created xsi:type="dcterms:W3CDTF">2022-10-19T19:05:00Z</dcterms:created>
  <dcterms:modified xsi:type="dcterms:W3CDTF">2025-08-15T18:47:49Z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