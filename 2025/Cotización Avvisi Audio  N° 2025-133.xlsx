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D0EE93D-553B-4804-AB38-357F9BB38F3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9" i="1" l="1"/>
  <c r="H20" i="1" l="1"/>
  <c r="H21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<sst xmlns="http://schemas.openxmlformats.org/spreadsheetml/2006/main" count="27" uniqueCount="26">
  <si>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</si>
  <si>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</si>
  <si>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</si>
  <si>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</si>
  <si>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</si>
  <si>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</si>
  <si>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</si>
  <si>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</si>
  <si>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</si>
  <si>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</si>
  <si>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</si>
  <si>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</si>
  <si>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</si>
  <si>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</si>
  <si>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</si>
  <si>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</si>
  <si>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Tegucigalpa </t>
  </si>
  <si>
    <t>RTN</t>
  </si>
  <si>
    <t xml:space="preserve">Activacion BTL </t>
  </si>
  <si>
    <t xml:space="preserve">mez de Abril </t>
  </si>
  <si>
    <t xml:space="preserve">1 dias </t>
  </si>
  <si>
    <t>Carlos Cruz</t>
  </si>
  <si>
    <t>Cemcol</t>
  </si>
  <si>
    <t>2025-133</t>
  </si>
  <si>
    <t>Promotoras 8 horas</t>
  </si>
  <si>
    <t xml:space="preserve">Edecanes 4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</si>
</sst>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6" fillId="3" borderId="3" xfId="2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3" borderId="3" xfId="2" applyFont="1" applyBorder="1" applyAlignment="1">
      <alignment horizontal="left"/>
    </xf>
    <xf numFmtId="0" fontId="10" fillId="6" borderId="3" xfId="1" applyFont="1" applyFill="1" applyBorder="1" applyAlignment="1">
      <alignment horizontal="center"/>
    </xf>
    <xf numFmtId="0" fontId="1" fillId="6" borderId="5" xfId="1" applyFont="1" applyFill="1" applyBorder="1" applyAlignment="1">
      <alignment horizontal="left"/>
    </xf>
    <xf numFmtId="0" fontId="1" fillId="6" borderId="6" xfId="1" applyFont="1" applyFill="1" applyBorder="1" applyAlignment="1">
      <alignment horizontal="left"/>
    </xf>
    <xf numFmtId="0" fontId="1" fillId="6" borderId="4" xfId="1" applyFont="1" applyFill="1" applyBorder="1" applyAlignment="1">
      <alignment horizontal="left"/>
    </xf>
    <xf numFmtId="0" fontId="1" fillId="6" borderId="5" xfId="1" applyFont="1" applyFill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24</xdr:row>
      <xdr:rowOff>83925</xdr:rowOff>
    </xdr:from>
    <xdr:to>
      <xdr:col>1</xdr:col>
      <xdr:colOff>113617</xdr:colOff>
      <xdr:row>26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038" y="4593295"/>
          <a:ext cx="50716" cy="341660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2264"/>
          <a:ext cx="6499483" cy="135400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18</xdr:row>
      <xdr:rowOff>35608</xdr:rowOff>
    </xdr:from>
    <xdr:to>
      <xdr:col>7</xdr:col>
      <xdr:colOff>1050524</xdr:colOff>
      <xdr:row>28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27</xdr:row>
      <xdr:rowOff>601411</xdr:rowOff>
    </xdr:from>
    <xdr:to>
      <xdr:col>4</xdr:col>
      <xdr:colOff>168596</xdr:colOff>
      <xdr:row>29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27</xdr:row>
      <xdr:rowOff>612567</xdr:rowOff>
    </xdr:from>
    <xdr:to>
      <xdr:col>7</xdr:col>
      <xdr:colOff>991200</xdr:colOff>
      <xdr:row>31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24</xdr:row>
      <xdr:rowOff>149553</xdr:rowOff>
    </xdr:from>
    <xdr:to>
      <xdr:col>4</xdr:col>
      <xdr:colOff>1032164</xdr:colOff>
      <xdr:row>31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7"/>
  <sheetViews>
    <sheetView tabSelected="1" zoomScale="73" zoomScaleNormal="110" zoomScaleSheetLayoutView="112" zoomScalePageLayoutView="107" workbookViewId="0">
      <selection activeCell="K22" sqref="K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5"/>
      <c r="C1" s="15"/>
      <c r="D1" s="15"/>
      <c r="E1" s="15"/>
      <c r="F1" s="15"/>
      <c r="G1" s="15"/>
      <c r="H1" s="15"/>
    </row>
    <row r="6" spans="2:9">
      <c r="H6" s="7" t="s">
        <v>12</v>
      </c>
      <c r="I6" s="1"/>
    </row>
    <row r="7" spans="2:9">
      <c r="H7" s="23" t="s">
        <v>23</v>
      </c>
    </row>
    <row r="12" spans="2:9" ht="12.6" customHeight="1">
      <c r="B12" s="16" t="s">
        <v>14</v>
      </c>
      <c r="C12" s="16"/>
      <c r="D12" s="24" t="s">
        <v>22</v>
      </c>
      <c r="E12" s="18"/>
      <c r="F12" t="s">
        <v>11</v>
      </c>
      <c r="G12" s="19" t="s">
        <v>21</v>
      </c>
      <c r="H12" s="19"/>
    </row>
    <row r="13" spans="2:9" ht="14.4" customHeight="1">
      <c r="B13" s="16" t="s">
        <v>0</v>
      </c>
      <c r="C13" s="16"/>
      <c r="D13" s="27" t="s">
        <v>16</v>
      </c>
      <c r="E13" s="26"/>
      <c r="F13" s="1" t="s">
        <v>17</v>
      </c>
      <c r="G13" s="20"/>
      <c r="H13" s="20"/>
    </row>
    <row r="14" spans="2:9">
      <c r="B14" s="1" t="s">
        <v>1</v>
      </c>
      <c r="C14" s="1" t="s">
        <v>2</v>
      </c>
      <c r="D14" s="17" t="s">
        <v>3</v>
      </c>
      <c r="E14" s="17"/>
      <c r="F14" s="15" t="s">
        <v>10</v>
      </c>
      <c r="G14" s="15"/>
      <c r="H14" s="1" t="s">
        <v>13</v>
      </c>
    </row>
    <row r="15" spans="2:9">
      <c r="B15" s="2">
        <v>45755</v>
      </c>
      <c r="C15" s="1" t="s">
        <v>20</v>
      </c>
      <c r="D15" s="28" t="s">
        <v>19</v>
      </c>
      <c r="E15" s="21"/>
      <c r="F15" s="25" t="s">
        <v>18</v>
      </c>
      <c r="G15" s="19"/>
      <c r="H15" s="6"/>
    </row>
    <row r="16" spans="2:9" ht="15.6">
      <c r="B16" s="3" t="s">
        <v>4</v>
      </c>
      <c r="C16" s="3" t="s">
        <v>8</v>
      </c>
      <c r="D16" s="22" t="s">
        <v>5</v>
      </c>
      <c r="E16" s="22"/>
      <c r="F16" s="22"/>
      <c r="G16" s="3" t="s">
        <v>6</v>
      </c>
      <c r="H16" s="12" t="s">
        <v>7</v>
      </c>
    </row>
    <row r="17" spans="2:8" ht="15.6">
      <c r="B17" s="30">
        <v>1</v>
      </c>
      <c r="C17" s="30">
        <v>1</v>
      </c>
      <c r="D17" s="31" t="s">
        <v>25</v>
      </c>
      <c r="E17" s="32"/>
      <c r="F17" s="33"/>
      <c r="G17" s="34">
        <v>1800</v>
      </c>
      <c r="H17" s="30">
        <f>G17*B17</f>
        <v>1800</v>
      </c>
    </row>
    <row r="18" spans="2:8" ht="15.6">
      <c r="B18" s="4">
        <v>1</v>
      </c>
      <c r="C18" s="4">
        <v>1</v>
      </c>
      <c r="D18" s="29" t="s">
        <v>24</v>
      </c>
      <c r="E18" s="13"/>
      <c r="F18" s="13"/>
      <c r="G18" s="11">
        <v>2000</v>
      </c>
      <c r="H18" s="30">
        <f>G18*B18</f>
        <v>2000</v>
      </c>
    </row>
    <row r="19" spans="2:8">
      <c r="D19" s="14"/>
      <c r="E19" s="14"/>
      <c r="F19" s="14"/>
      <c r="G19" s="8" t="s">
        <v>9</v>
      </c>
      <c r="H19" s="9">
        <f>SUM(H18:H18)</f>
        <v>2000</v>
      </c>
    </row>
    <row r="20" spans="2:8">
      <c r="G20" s="8" t="s">
        <v>15</v>
      </c>
      <c r="H20" s="10">
        <f>H19*0.15</f>
        <v>300</v>
      </c>
    </row>
    <row r="21" spans="2:8">
      <c r="G21" s="8" t="s">
        <v>9</v>
      </c>
      <c r="H21" s="10">
        <f>H20+H19</f>
        <v>2300</v>
      </c>
    </row>
    <row r="28" spans="2:8" ht="62.4" customHeight="1"/>
    <row r="30" spans="2:8" ht="27.6" customHeight="1"/>
    <row r="31" spans="2:8" ht="5.4" customHeight="1">
      <c r="B31" s="5"/>
      <c r="C31" s="5"/>
      <c r="D31" s="5"/>
      <c r="E31" s="5"/>
      <c r="F31" s="5"/>
      <c r="G31" s="5"/>
      <c r="H31" s="5"/>
    </row>
    <row r="33" ht="25.2" customHeight="1"/>
    <row r="40" ht="21" customHeight="1"/>
    <row r="42" ht="1.95" customHeight="1"/>
    <row r="43" ht="7.95" customHeight="1"/>
    <row r="44" ht="16.05" customHeight="1"/>
    <row r="46" ht="6" customHeight="1"/>
    <row r="47" ht="9.75" customHeight="1"/>
  </sheetData>
  <mergeCells count="15">
    <mergeCell ref="D15:E15"/>
    <mergeCell ref="D16:F16"/>
    <mergeCell ref="D18:F18"/>
    <mergeCell ref="F15:G15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2025-04-08T21:22:20Z</cp:lastPrinted>
  <dcterms:created xsi:type="dcterms:W3CDTF">2022-10-19T19:05:00Z</dcterms:created>
  <dcterms:modified xsi:type="dcterms:W3CDTF">2025-04-09T22:10:59Z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