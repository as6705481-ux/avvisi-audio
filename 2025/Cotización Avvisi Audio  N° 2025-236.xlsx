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D23CBF5-202D-439B-B973-0D3EAF7395E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21" i="1"/>
  <c r="H22" i="1"/>
  <c r="H17" i="1"/>
  <c r="H23" i="1" l="1"/>
  <c r="H24" i="1" s="1"/>
  <c r="H25" i="1" l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<sst xmlns="http://schemas.openxmlformats.org/spreadsheetml/2006/main" count="29" uniqueCount="28">
  <si>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</si>
  <si>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</si>
  <si>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</si>
  <si>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</si>
  <si>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</si>
  <si>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</si>
  <si>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</si>
  <si>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</si>
  <si>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</si>
  <si>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</si>
  <si>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</si>
  <si>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</si>
  <si>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</si>
  <si>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</si>
  <si>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</si>
  <si>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</si>
  <si>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</si>
  <si>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Secia Euceda</t>
  </si>
  <si>
    <t>Capacitación</t>
  </si>
  <si>
    <t>pendiente</t>
  </si>
  <si>
    <t>Sthins Beauty School.</t>
  </si>
  <si>
    <t>SPS</t>
  </si>
  <si>
    <t xml:space="preserve">Audio profesional + Consola </t>
  </si>
  <si>
    <t>Pantalla 3x2m</t>
  </si>
  <si>
    <t>2025-236</t>
  </si>
  <si>
    <t>Totem 1x2m</t>
  </si>
  <si>
    <t>Microfonos</t>
  </si>
  <si>
    <t>Tarima 50 alto x 3.75 x2.75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</si>
</sst>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  <xf numFmtId="44" fontId="9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44" fontId="9" fillId="3" borderId="3" xfId="2" applyNumberFormat="1" applyBorder="1" applyAlignment="1"/>
    <xf numFmtId="44" fontId="9" fillId="3" borderId="3" xfId="3" applyFill="1" applyBorder="1" applyAlignment="1"/>
    <xf numFmtId="0" fontId="4" fillId="0" borderId="1" xfId="0" applyFont="1" applyBorder="1" applyAlignment="1">
      <alignment horizontal="center"/>
    </xf>
    <xf numFmtId="0" fontId="13" fillId="2" borderId="8" xfId="1" applyFont="1" applyFill="1" applyBorder="1" applyAlignment="1">
      <alignment horizontal="center"/>
    </xf>
    <xf numFmtId="44" fontId="0" fillId="3" borderId="3" xfId="2" applyNumberFormat="1" applyFont="1" applyBorder="1" applyAlignment="1"/>
    <xf numFmtId="165" fontId="9" fillId="3" borderId="3" xfId="3" applyNumberFormat="1" applyFill="1" applyBorder="1" applyAlignment="1"/>
    <xf numFmtId="0" fontId="2" fillId="3" borderId="5" xfId="2" applyFont="1" applyBorder="1" applyAlignment="1">
      <alignment horizontal="left"/>
    </xf>
    <xf numFmtId="0" fontId="9" fillId="3" borderId="6" xfId="2" applyBorder="1" applyAlignment="1">
      <alignment horizontal="left"/>
    </xf>
    <xf numFmtId="0" fontId="9" fillId="3" borderId="4" xfId="2" applyBorder="1" applyAlignment="1">
      <alignment horizontal="left"/>
    </xf>
    <xf numFmtId="0" fontId="2" fillId="3" borderId="6" xfId="2" applyFont="1" applyBorder="1" applyAlignment="1">
      <alignment horizontal="left"/>
    </xf>
    <xf numFmtId="0" fontId="2" fillId="3" borderId="4" xfId="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3" fillId="3" borderId="6" xfId="2" applyFont="1" applyBorder="1" applyAlignment="1">
      <alignment horizontal="left" wrapText="1"/>
    </xf>
    <xf numFmtId="0" fontId="3" fillId="3" borderId="4" xfId="2" applyFont="1" applyBorder="1" applyAlignment="1">
      <alignment horizontal="left" wrapText="1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211737"/>
          <a:ext cx="50716" cy="32446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8226" cy="12938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10</xdr:row>
      <xdr:rowOff>152400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308974"/>
          <a:ext cx="6539500" cy="6363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22</xdr:row>
      <xdr:rowOff>163794</xdr:rowOff>
    </xdr:from>
    <xdr:to>
      <xdr:col>7</xdr:col>
      <xdr:colOff>847459</xdr:colOff>
      <xdr:row>33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31</xdr:row>
      <xdr:rowOff>1228103</xdr:rowOff>
    </xdr:from>
    <xdr:to>
      <xdr:col>4</xdr:col>
      <xdr:colOff>182839</xdr:colOff>
      <xdr:row>37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31</xdr:row>
      <xdr:rowOff>1253501</xdr:rowOff>
    </xdr:from>
    <xdr:to>
      <xdr:col>8</xdr:col>
      <xdr:colOff>52800</xdr:colOff>
      <xdr:row>38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1"/>
  <sheetViews>
    <sheetView tabSelected="1" view="pageLayout" topLeftCell="A5" zoomScale="85" zoomScaleNormal="62" zoomScaleSheetLayoutView="112" zoomScalePageLayoutView="85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37" t="s">
        <v>24</v>
      </c>
    </row>
    <row r="12" spans="2:9" ht="12.6" customHeight="1">
      <c r="B12" s="24" t="s">
        <v>12</v>
      </c>
      <c r="C12" s="24"/>
      <c r="D12" s="35" t="s">
        <v>20</v>
      </c>
      <c r="E12" s="27"/>
      <c r="F12" t="s">
        <v>9</v>
      </c>
      <c r="G12" s="28" t="s">
        <v>17</v>
      </c>
      <c r="H12" s="23"/>
    </row>
    <row r="13" spans="2:9" ht="14.4" customHeight="1">
      <c r="B13" s="25" t="s">
        <v>0</v>
      </c>
      <c r="C13" s="25"/>
      <c r="D13" s="39" t="s">
        <v>21</v>
      </c>
      <c r="E13" s="30"/>
      <c r="F13" s="1" t="s">
        <v>13</v>
      </c>
      <c r="G13" s="29" t="s">
        <v>19</v>
      </c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8</v>
      </c>
      <c r="G14" s="24"/>
      <c r="H14" s="1" t="s">
        <v>11</v>
      </c>
    </row>
    <row r="15" spans="2:9">
      <c r="B15" s="2">
        <v>45901</v>
      </c>
      <c r="C15" s="1"/>
      <c r="D15" s="34">
        <v>45970</v>
      </c>
      <c r="E15" s="21"/>
      <c r="F15" s="36" t="s">
        <v>18</v>
      </c>
      <c r="G15" s="23"/>
      <c r="H15" s="12" t="s">
        <v>16</v>
      </c>
    </row>
    <row r="16" spans="2:9" ht="15.6">
      <c r="B16" s="9" t="s">
        <v>4</v>
      </c>
      <c r="C16" s="13" t="s">
        <v>7</v>
      </c>
      <c r="D16" s="22"/>
      <c r="E16" s="22"/>
      <c r="F16" s="22"/>
      <c r="G16" s="9" t="s">
        <v>5</v>
      </c>
      <c r="H16" s="9" t="s">
        <v>6</v>
      </c>
    </row>
    <row r="17" spans="2:8">
      <c r="B17" s="3">
        <v>1</v>
      </c>
      <c r="C17" s="3">
        <v>1</v>
      </c>
      <c r="D17" s="38" t="s">
        <v>22</v>
      </c>
      <c r="E17" s="31"/>
      <c r="F17" s="32"/>
      <c r="G17" s="11">
        <v>5000</v>
      </c>
      <c r="H17" s="11">
        <f t="shared" ref="H17:H21" si="0">G17*B17*C17</f>
        <v>5000</v>
      </c>
    </row>
    <row r="18" spans="2:8" ht="16.8" customHeight="1">
      <c r="B18" s="3">
        <v>3</v>
      </c>
      <c r="C18" s="3">
        <v>1</v>
      </c>
      <c r="D18" s="38" t="s">
        <v>26</v>
      </c>
      <c r="E18" s="31"/>
      <c r="F18" s="32"/>
      <c r="G18" s="11">
        <v>350</v>
      </c>
      <c r="H18" s="11">
        <f t="shared" si="0"/>
        <v>1050</v>
      </c>
    </row>
    <row r="19" spans="2:8" ht="16.8" customHeight="1">
      <c r="B19" s="3">
        <v>2</v>
      </c>
      <c r="C19" s="3">
        <v>1</v>
      </c>
      <c r="D19" s="38" t="s">
        <v>23</v>
      </c>
      <c r="E19" s="40"/>
      <c r="F19" s="41"/>
      <c r="G19" s="11">
        <v>12000</v>
      </c>
      <c r="H19" s="11">
        <f t="shared" si="0"/>
        <v>24000</v>
      </c>
    </row>
    <row r="20" spans="2:8" ht="16.8" customHeight="1">
      <c r="B20" s="3">
        <v>1</v>
      </c>
      <c r="C20" s="3">
        <v>1</v>
      </c>
      <c r="D20" s="38" t="s">
        <v>27</v>
      </c>
      <c r="E20" s="40"/>
      <c r="F20" s="41"/>
      <c r="G20" s="11">
        <v>3300</v>
      </c>
      <c r="H20" s="11">
        <f t="shared" si="0"/>
        <v>3300</v>
      </c>
    </row>
    <row r="21" spans="2:8">
      <c r="B21" s="3">
        <v>2</v>
      </c>
      <c r="C21" s="3">
        <v>1</v>
      </c>
      <c r="D21" s="42" t="s">
        <v>25</v>
      </c>
      <c r="E21" s="19"/>
      <c r="F21" s="20"/>
      <c r="G21" s="10">
        <v>4000</v>
      </c>
      <c r="H21" s="11">
        <f t="shared" si="0"/>
        <v>8000</v>
      </c>
    </row>
    <row r="22" spans="2:8">
      <c r="B22" s="3"/>
      <c r="C22" s="3"/>
      <c r="D22" s="16"/>
      <c r="E22" s="17"/>
      <c r="F22" s="18"/>
      <c r="G22" s="14"/>
      <c r="H22" s="15">
        <f t="shared" ref="H22" si="1">G22*B22*C22</f>
        <v>0</v>
      </c>
    </row>
    <row r="23" spans="2:8">
      <c r="D23" s="33"/>
      <c r="E23" s="33"/>
      <c r="F23" s="33"/>
      <c r="G23" s="6" t="s">
        <v>15</v>
      </c>
      <c r="H23" s="7">
        <f>SUM(H17:H22)</f>
        <v>41350</v>
      </c>
    </row>
    <row r="24" spans="2:8">
      <c r="G24" s="6" t="s">
        <v>14</v>
      </c>
      <c r="H24" s="8">
        <f>H23*0.15</f>
        <v>6202.5</v>
      </c>
    </row>
    <row r="25" spans="2:8">
      <c r="G25" s="6" t="s">
        <v>6</v>
      </c>
      <c r="H25" s="8">
        <f>H23+H24</f>
        <v>47552.5</v>
      </c>
    </row>
    <row r="32" spans="2:8" ht="126.6" customHeight="1"/>
    <row r="34" spans="2:8" ht="27.6" customHeight="1"/>
    <row r="35" spans="2:8" ht="5.4" customHeight="1">
      <c r="B35" s="4"/>
      <c r="C35" s="4"/>
      <c r="D35" s="4"/>
      <c r="E35" s="4"/>
      <c r="F35" s="4"/>
      <c r="G35" s="4"/>
      <c r="H35" s="4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23:F23"/>
    <mergeCell ref="D22:F22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0:F20"/>
    <mergeCell ref="D21:F21"/>
    <mergeCell ref="D15:E15"/>
    <mergeCell ref="D16:F16"/>
    <mergeCell ref="F15:G15"/>
    <mergeCell ref="D17:F17"/>
    <mergeCell ref="D18:F18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2025-09-01T19:29:55Z</cp:lastPrinted>
  <dcterms:created xsi:type="dcterms:W3CDTF">2022-10-19T19:05:00Z</dcterms:created>
  <dcterms:modified xsi:type="dcterms:W3CDTF">2025-09-01T19:32:40Z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