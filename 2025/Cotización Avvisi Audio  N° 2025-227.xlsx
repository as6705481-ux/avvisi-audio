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21A473A5-B7DD-40F4-8BEA-10D7206E3FD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1" i="1"/>
  <c r="H16" i="1"/>
  <c r="H18" i="1"/>
  <c r="H19" i="1"/>
  <c r="H20" i="1"/>
  <c r="H23" i="1"/>
  <c r="H25" i="1"/>
  <c r="H26" i="1" l="1"/>
  <c r="H27" i="1" s="1"/>
  <c r="H28" i="1" l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<sst xmlns="http://schemas.openxmlformats.org/spreadsheetml/2006/main" count="27" uniqueCount="26">
  <si>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</si>
  <si>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</si>
  <si>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</si>
  <si>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</si>
  <si>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</si>
  <si>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</si>
  <si>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</si>
  <si>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</si>
  <si>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</si>
  <si>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</si>
  <si>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</si>
  <si>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</si>
  <si>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</si>
  <si>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</si>
  <si>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</si>
  <si>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</si>
  <si>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</si>
  <si>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Tegucigalpa</t>
  </si>
  <si>
    <t>RAP</t>
  </si>
  <si>
    <t>Eufemio Martinez</t>
  </si>
  <si>
    <t>Pantalla Led 3x2</t>
  </si>
  <si>
    <t>Audio profesional y consola</t>
  </si>
  <si>
    <t>Microfonos inalambricos</t>
  </si>
  <si>
    <t>Tarima  2.50x4 a 30cm</t>
  </si>
  <si>
    <t>Luces led</t>
  </si>
  <si>
    <t>2025-222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</si>
</sst>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  <xf numFmtId="44" fontId="10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0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164" fontId="12" fillId="2" borderId="3" xfId="2" applyNumberFormat="1" applyFont="1" applyFill="1" applyBorder="1"/>
    <xf numFmtId="164" fontId="13" fillId="2" borderId="3" xfId="0" applyNumberFormat="1" applyFont="1" applyFill="1" applyBorder="1"/>
    <xf numFmtId="0" fontId="8" fillId="2" borderId="8" xfId="1" applyFont="1" applyFill="1" applyBorder="1" applyAlignment="1">
      <alignment horizontal="center"/>
    </xf>
    <xf numFmtId="0" fontId="10" fillId="3" borderId="3" xfId="2" applyBorder="1" applyAlignment="1">
      <alignment horizontal="center" vertical="center"/>
    </xf>
    <xf numFmtId="44" fontId="10" fillId="3" borderId="3" xfId="2" applyNumberFormat="1" applyBorder="1" applyAlignment="1"/>
    <xf numFmtId="44" fontId="10" fillId="3" borderId="3" xfId="3" applyFill="1" applyBorder="1" applyAlignment="1"/>
    <xf numFmtId="0" fontId="5" fillId="0" borderId="1" xfId="0" applyFont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0" fontId="4" fillId="3" borderId="6" xfId="2" applyFont="1" applyBorder="1" applyAlignment="1">
      <alignment horizontal="left" wrapText="1"/>
    </xf>
    <xf numFmtId="0" fontId="4" fillId="3" borderId="4" xfId="2" applyFont="1" applyBorder="1" applyAlignment="1">
      <alignment horizontal="left" wrapText="1"/>
    </xf>
    <xf numFmtId="0" fontId="5" fillId="3" borderId="6" xfId="2" applyFont="1" applyBorder="1" applyAlignment="1">
      <alignment horizontal="left"/>
    </xf>
    <xf numFmtId="0" fontId="5" fillId="3" borderId="4" xfId="2" applyFont="1" applyBorder="1" applyAlignment="1">
      <alignment horizontal="left"/>
    </xf>
    <xf numFmtId="0" fontId="10" fillId="3" borderId="6" xfId="2" applyBorder="1" applyAlignment="1">
      <alignment horizontal="left"/>
    </xf>
    <xf numFmtId="0" fontId="10" fillId="3" borderId="4" xfId="2" applyBorder="1" applyAlignment="1">
      <alignment horizontal="left"/>
    </xf>
    <xf numFmtId="0" fontId="10" fillId="3" borderId="6" xfId="2" applyBorder="1" applyAlignment="1">
      <alignment horizontal="left" vertical="top"/>
    </xf>
    <xf numFmtId="0" fontId="10" fillId="3" borderId="4" xfId="2" applyBorder="1" applyAlignment="1">
      <alignment horizontal="left" vertical="top"/>
    </xf>
    <xf numFmtId="0" fontId="0" fillId="0" borderId="2" xfId="0" applyBorder="1"/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" fillId="3" borderId="5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5" xfId="2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3" borderId="5" xfId="2" applyFont="1" applyBorder="1" applyAlignment="1">
      <alignment horizontal="left" vertical="top"/>
    </xf>
    <xf numFmtId="44" fontId="0" fillId="3" borderId="3" xfId="2" applyNumberFormat="1" applyFont="1" applyBorder="1" applyAlignment="1"/>
    <xf numFmtId="165" fontId="10" fillId="3" borderId="3" xfId="3" applyNumberFormat="1" applyFill="1" applyBorder="1" applyAlignment="1"/>
    <xf numFmtId="0" fontId="1" fillId="0" borderId="7" xfId="0" applyFont="1" applyBorder="1" applyAlignment="1">
      <alignment horizontal="center"/>
    </xf>
    <xf numFmtId="0" fontId="1" fillId="3" borderId="6" xfId="2" applyFont="1" applyBorder="1" applyAlignment="1">
      <alignment horizontal="left"/>
    </xf>
    <xf numFmtId="0" fontId="1" fillId="3" borderId="4" xfId="2" applyFont="1" applyBorder="1" applyAlignment="1">
      <alignment horizontal="left"/>
    </xf>
    <xf numFmtId="0" fontId="1" fillId="3" borderId="6" xfId="2" applyFont="1" applyBorder="1" applyAlignment="1">
      <alignment horizontal="left" wrapText="1"/>
    </xf>
    <xf numFmtId="0" fontId="1" fillId="3" borderId="4" xfId="2" applyFont="1" applyBorder="1" applyAlignment="1">
      <alignment horizontal="left" wrapText="1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626" y="5811485"/>
          <a:ext cx="50716" cy="33431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5566" cy="1328309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25</xdr:row>
      <xdr:rowOff>163794</xdr:rowOff>
    </xdr:from>
    <xdr:to>
      <xdr:col>7</xdr:col>
      <xdr:colOff>847459</xdr:colOff>
      <xdr:row>36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34</xdr:row>
      <xdr:rowOff>1228103</xdr:rowOff>
    </xdr:from>
    <xdr:to>
      <xdr:col>4</xdr:col>
      <xdr:colOff>182839</xdr:colOff>
      <xdr:row>40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34</xdr:row>
      <xdr:rowOff>1253501</xdr:rowOff>
    </xdr:from>
    <xdr:to>
      <xdr:col>8</xdr:col>
      <xdr:colOff>52800</xdr:colOff>
      <xdr:row>41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4"/>
  <sheetViews>
    <sheetView tabSelected="1" view="pageLayout" topLeftCell="A4" zoomScale="91" zoomScaleNormal="62" zoomScaleSheetLayoutView="112" zoomScalePageLayoutView="91" workbookViewId="0">
      <selection activeCell="D15" sqref="D15:F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45" t="s">
        <v>25</v>
      </c>
    </row>
    <row r="11" spans="2:9" ht="12.6" customHeight="1">
      <c r="B11" s="31" t="s">
        <v>12</v>
      </c>
      <c r="C11" s="31"/>
      <c r="D11" s="39" t="s">
        <v>18</v>
      </c>
      <c r="E11" s="34"/>
      <c r="F11" t="s">
        <v>9</v>
      </c>
      <c r="G11" s="41" t="s">
        <v>19</v>
      </c>
      <c r="H11" s="30"/>
    </row>
    <row r="12" spans="2:9" ht="14.4" customHeight="1">
      <c r="B12" s="32" t="s">
        <v>0</v>
      </c>
      <c r="C12" s="32"/>
      <c r="D12" s="36" t="s">
        <v>17</v>
      </c>
      <c r="E12" s="37"/>
      <c r="F12" s="1" t="s">
        <v>13</v>
      </c>
      <c r="G12" s="35"/>
      <c r="H12" s="35"/>
    </row>
    <row r="13" spans="2:9">
      <c r="B13" s="1" t="s">
        <v>1</v>
      </c>
      <c r="C13" s="1" t="s">
        <v>2</v>
      </c>
      <c r="D13" s="33" t="s">
        <v>3</v>
      </c>
      <c r="E13" s="33"/>
      <c r="F13" s="31" t="s">
        <v>8</v>
      </c>
      <c r="G13" s="31"/>
      <c r="H13" s="1" t="s">
        <v>11</v>
      </c>
    </row>
    <row r="14" spans="2:9">
      <c r="B14" s="2">
        <v>45894</v>
      </c>
      <c r="C14" s="1"/>
      <c r="D14" s="26">
        <v>45898</v>
      </c>
      <c r="E14" s="27"/>
      <c r="F14" s="29"/>
      <c r="G14" s="30"/>
      <c r="H14" s="13" t="s">
        <v>16</v>
      </c>
    </row>
    <row r="15" spans="2:9" ht="15.6">
      <c r="B15" s="9" t="s">
        <v>4</v>
      </c>
      <c r="C15" s="14" t="s">
        <v>7</v>
      </c>
      <c r="D15" s="28"/>
      <c r="E15" s="28"/>
      <c r="F15" s="28"/>
      <c r="G15" s="9" t="s">
        <v>5</v>
      </c>
      <c r="H15" s="9" t="s">
        <v>6</v>
      </c>
    </row>
    <row r="16" spans="2:9">
      <c r="B16" s="3">
        <v>1</v>
      </c>
      <c r="C16" s="3">
        <v>1</v>
      </c>
      <c r="D16" s="40" t="s">
        <v>21</v>
      </c>
      <c r="E16" s="15"/>
      <c r="F16" s="16"/>
      <c r="G16" s="12">
        <v>3500</v>
      </c>
      <c r="H16" s="12">
        <f t="shared" ref="H16:H23" si="0">G16*B16*C16</f>
        <v>3500</v>
      </c>
    </row>
    <row r="17" spans="2:8" ht="16.8" customHeight="1">
      <c r="B17" s="3">
        <v>4</v>
      </c>
      <c r="C17" s="3">
        <v>1</v>
      </c>
      <c r="D17" s="40" t="s">
        <v>22</v>
      </c>
      <c r="E17" s="48"/>
      <c r="F17" s="49"/>
      <c r="G17" s="12">
        <v>250</v>
      </c>
      <c r="H17" s="12">
        <f>G17*B17</f>
        <v>1000</v>
      </c>
    </row>
    <row r="18" spans="2:8">
      <c r="B18" s="3">
        <v>1</v>
      </c>
      <c r="C18" s="10">
        <v>1</v>
      </c>
      <c r="D18" s="38" t="s">
        <v>20</v>
      </c>
      <c r="E18" s="17"/>
      <c r="F18" s="18"/>
      <c r="G18" s="11">
        <v>8000</v>
      </c>
      <c r="H18" s="12">
        <f t="shared" si="0"/>
        <v>8000</v>
      </c>
    </row>
    <row r="19" spans="2:8">
      <c r="B19" s="3">
        <v>1</v>
      </c>
      <c r="C19" s="10">
        <v>1</v>
      </c>
      <c r="D19" s="38" t="s">
        <v>23</v>
      </c>
      <c r="E19" s="24"/>
      <c r="F19" s="25"/>
      <c r="G19" s="11">
        <v>4000</v>
      </c>
      <c r="H19" s="12">
        <f t="shared" si="0"/>
        <v>4000</v>
      </c>
    </row>
    <row r="20" spans="2:8">
      <c r="B20" s="3">
        <v>13</v>
      </c>
      <c r="C20" s="10">
        <v>1</v>
      </c>
      <c r="D20" s="38" t="s">
        <v>24</v>
      </c>
      <c r="E20" s="19"/>
      <c r="F20" s="20"/>
      <c r="G20" s="11"/>
      <c r="H20" s="12">
        <f t="shared" si="0"/>
        <v>0</v>
      </c>
    </row>
    <row r="21" spans="2:8">
      <c r="B21" s="3"/>
      <c r="C21" s="10"/>
      <c r="D21" s="42"/>
      <c r="E21" s="21"/>
      <c r="F21" s="22"/>
      <c r="G21" s="11"/>
      <c r="H21" s="12">
        <f t="shared" si="0"/>
        <v>0</v>
      </c>
    </row>
    <row r="22" spans="2:8">
      <c r="B22" s="3"/>
      <c r="C22" s="3"/>
      <c r="D22" s="38"/>
      <c r="E22" s="19"/>
      <c r="F22" s="20"/>
      <c r="G22" s="43"/>
      <c r="H22" s="44"/>
    </row>
    <row r="23" spans="2:8">
      <c r="B23" s="3"/>
      <c r="C23" s="3"/>
      <c r="D23" s="38"/>
      <c r="E23" s="19"/>
      <c r="F23" s="20"/>
      <c r="G23" s="11"/>
      <c r="H23" s="12">
        <f t="shared" si="0"/>
        <v>0</v>
      </c>
    </row>
    <row r="24" spans="2:8">
      <c r="B24" s="3"/>
      <c r="C24" s="3"/>
      <c r="D24" s="38"/>
      <c r="E24" s="19"/>
      <c r="F24" s="20"/>
      <c r="G24" s="11"/>
      <c r="H24" s="12"/>
    </row>
    <row r="25" spans="2:8">
      <c r="B25" s="3"/>
      <c r="C25" s="3"/>
      <c r="D25" s="38"/>
      <c r="E25" s="46"/>
      <c r="F25" s="47"/>
      <c r="G25" s="11"/>
      <c r="H25" s="12">
        <f t="shared" ref="H25" si="1">G25*B25*C25</f>
        <v>0</v>
      </c>
    </row>
    <row r="26" spans="2:8">
      <c r="D26" s="23"/>
      <c r="E26" s="23"/>
      <c r="F26" s="23"/>
      <c r="G26" s="6" t="s">
        <v>15</v>
      </c>
      <c r="H26" s="7">
        <f>SUM(H16:H25)</f>
        <v>16500</v>
      </c>
    </row>
    <row r="27" spans="2:8">
      <c r="G27" s="6" t="s">
        <v>14</v>
      </c>
      <c r="H27" s="8">
        <f>H26*0.15</f>
        <v>2475</v>
      </c>
    </row>
    <row r="28" spans="2:8">
      <c r="G28" s="6" t="s">
        <v>6</v>
      </c>
      <c r="H28" s="8">
        <f>H26+H27</f>
        <v>18975</v>
      </c>
    </row>
    <row r="35" spans="2:8" ht="126.6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2"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  <mergeCell ref="D16:F16"/>
    <mergeCell ref="D18:F18"/>
    <mergeCell ref="D20:F20"/>
    <mergeCell ref="D21:F21"/>
    <mergeCell ref="D26:F26"/>
    <mergeCell ref="D25:F25"/>
    <mergeCell ref="D22:F22"/>
    <mergeCell ref="D23:F23"/>
    <mergeCell ref="D24:F24"/>
    <mergeCell ref="D19:F19"/>
    <mergeCell ref="D17:F17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2025-08-25T23:01:51Z</cp:lastPrinted>
  <dcterms:created xsi:type="dcterms:W3CDTF">2022-10-19T19:05:00Z</dcterms:created>
  <dcterms:modified xsi:type="dcterms:W3CDTF">2025-08-25T23:24:30Z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