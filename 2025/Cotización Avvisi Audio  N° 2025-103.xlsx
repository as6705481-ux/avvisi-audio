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A43280C3-0891-4488-BE02-FC354B5AF5A5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81029"/>
</workbook>
</file>

<file path=xl/calcChain.xml><?xml version="1.0" encoding="utf-8"?>
<calcChain xmlns="http://schemas.openxmlformats.org/spreadsheetml/2006/main">
  <c r="H18" i="1" l="1"/>
  <c r="H19" i="1"/>
  <c r="H20" i="1"/>
  <c r="H21" i="1"/>
  <c r="H22" i="1"/>
  <c r="H23" i="1"/>
  <c r="H24" i="1"/>
  <c r="H25" i="1"/>
  <c r="H26" i="1"/>
  <c r="H27" i="1"/>
  <c r="H28" i="1"/>
  <c r="H29" i="1"/>
  <c r="H17" i="1"/>
  <c r="H30" i="1" l="1"/>
  <c r="H31" i="1" l="1"/>
  <c r="H32" i="1" s="1"/>
</calcChain>
</file>

<file path=xl/sharedStrings.xml><?xml version="1.0" encoding="utf-8"?>
<sst xmlns="http://schemas.openxmlformats.org/spreadsheetml/2006/main" count="33" uniqueCount="32">
  <si>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</si>
  <si>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</si>
  <si>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</si>
  <si>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</si>
  <si>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</si>
  <si>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</si>
  <si>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</si>
  <si>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</si>
  <si>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</si>
  <si>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</si>
  <si>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</si>
  <si>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</si>
  <si>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</si>
  <si>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</si>
  <si>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</si>
  <si>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 xml:space="preserve">Eufemio Martinez </t>
  </si>
  <si>
    <t>ISV 15 %</t>
  </si>
  <si>
    <t xml:space="preserve">5 Horas </t>
  </si>
  <si>
    <t xml:space="preserve">Tegucigalpa </t>
  </si>
  <si>
    <t xml:space="preserve">Fundacion Crisalida Internacional </t>
  </si>
  <si>
    <t xml:space="preserve">ONG </t>
  </si>
  <si>
    <t xml:space="preserve">Audio Corporativo tipo barra para 250 p </t>
  </si>
  <si>
    <t xml:space="preserve">Microfonos Inalambricos SM58 </t>
  </si>
  <si>
    <t xml:space="preserve">Consola de audio de 10 canales Yamaha MG10 </t>
  </si>
  <si>
    <t xml:space="preserve">Tarima de 5 x 2.50 a 30 cm en negro </t>
  </si>
  <si>
    <t xml:space="preserve">Pantalla led de 4 x 2.50 metros </t>
  </si>
  <si>
    <t xml:space="preserve">Tecnico de video </t>
  </si>
  <si>
    <t xml:space="preserve">Tecnico de Audio </t>
  </si>
  <si>
    <t xml:space="preserve">Personal de Staff </t>
  </si>
  <si>
    <t>2025-103</t>
  </si>
  <si>
    <t>Edecan</t>
  </si>
  <si>
    <t>Pinta Carita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</si>
</sst>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35</xdr:row>
      <xdr:rowOff>83925</xdr:rowOff>
    </xdr:from>
    <xdr:to>
      <xdr:col>1</xdr:col>
      <xdr:colOff>113617</xdr:colOff>
      <xdr:row>37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6550243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29</xdr:row>
      <xdr:rowOff>35608</xdr:rowOff>
    </xdr:from>
    <xdr:to>
      <xdr:col>7</xdr:col>
      <xdr:colOff>1050524</xdr:colOff>
      <xdr:row>39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38</xdr:row>
      <xdr:rowOff>601411</xdr:rowOff>
    </xdr:from>
    <xdr:to>
      <xdr:col>4</xdr:col>
      <xdr:colOff>168596</xdr:colOff>
      <xdr:row>40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38</xdr:row>
      <xdr:rowOff>612567</xdr:rowOff>
    </xdr:from>
    <xdr:to>
      <xdr:col>7</xdr:col>
      <xdr:colOff>991200</xdr:colOff>
      <xdr:row>42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35</xdr:row>
      <xdr:rowOff>149553</xdr:rowOff>
    </xdr:from>
    <xdr:to>
      <xdr:col>4</xdr:col>
      <xdr:colOff>628779</xdr:colOff>
      <xdr:row>42</xdr:row>
      <xdr:rowOff>56973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8"/>
  <sheetViews>
    <sheetView tabSelected="1" view="pageLayout" topLeftCell="A3" zoomScale="107" zoomScaleNormal="100" zoomScaleSheetLayoutView="112" zoomScalePageLayoutView="107" workbookViewId="0">
      <selection activeCell="B17" sqref="B17:G26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88671875" customWidth="1"/>
    <col min="9" max="9" width="9.21875" customWidth="1"/>
  </cols>
  <sheetData>
    <row r="1" spans="2:9">
      <c r="B1" s="23"/>
      <c r="C1" s="23"/>
      <c r="D1" s="23"/>
      <c r="E1" s="23"/>
      <c r="F1" s="23"/>
      <c r="G1" s="23"/>
      <c r="H1" s="23"/>
    </row>
    <row r="6" spans="2:9">
      <c r="H6" s="8" t="s">
        <v>12</v>
      </c>
      <c r="I6" s="1"/>
    </row>
    <row r="7" spans="2:9">
      <c r="H7" s="31" t="s">
        <v>29</v>
      </c>
    </row>
    <row r="12" spans="2:9" ht="12.6" customHeight="1">
      <c r="B12" s="24" t="s">
        <v>14</v>
      </c>
      <c r="C12" s="24"/>
      <c r="D12" s="32" t="s">
        <v>19</v>
      </c>
      <c r="E12" s="25"/>
      <c r="F12" t="s">
        <v>11</v>
      </c>
      <c r="G12" s="22" t="s">
        <v>15</v>
      </c>
      <c r="H12" s="22"/>
    </row>
    <row r="13" spans="2:9" ht="14.4" customHeight="1">
      <c r="B13" s="24" t="s">
        <v>0</v>
      </c>
      <c r="C13" s="24"/>
      <c r="D13" s="32" t="s">
        <v>18</v>
      </c>
      <c r="E13" s="25"/>
      <c r="F13" s="25"/>
      <c r="G13" s="25"/>
    </row>
    <row r="14" spans="2:9">
      <c r="B14" s="1" t="s">
        <v>1</v>
      </c>
      <c r="C14" s="1" t="s">
        <v>2</v>
      </c>
      <c r="D14" s="26" t="s">
        <v>3</v>
      </c>
      <c r="E14" s="26"/>
      <c r="F14" s="26" t="s">
        <v>10</v>
      </c>
      <c r="G14" s="26"/>
      <c r="H14" s="1" t="s">
        <v>13</v>
      </c>
    </row>
    <row r="15" spans="2:9">
      <c r="B15" s="2">
        <v>45734</v>
      </c>
      <c r="C15" s="1" t="s">
        <v>17</v>
      </c>
      <c r="D15" s="33">
        <v>45748</v>
      </c>
      <c r="E15" s="18"/>
      <c r="F15" s="34" t="s">
        <v>20</v>
      </c>
      <c r="G15" s="22"/>
      <c r="H15" s="7">
        <v>250</v>
      </c>
    </row>
    <row r="16" spans="2:9" ht="15.6">
      <c r="B16" s="3" t="s">
        <v>4</v>
      </c>
      <c r="C16" s="3" t="s">
        <v>8</v>
      </c>
      <c r="D16" s="19" t="s">
        <v>5</v>
      </c>
      <c r="E16" s="19"/>
      <c r="F16" s="19"/>
      <c r="G16" s="3" t="s">
        <v>6</v>
      </c>
      <c r="H16" s="16" t="s">
        <v>7</v>
      </c>
    </row>
    <row r="17" spans="2:8">
      <c r="B17" s="4">
        <v>4</v>
      </c>
      <c r="C17" s="4">
        <v>1</v>
      </c>
      <c r="D17" s="20" t="s">
        <v>21</v>
      </c>
      <c r="E17" s="21"/>
      <c r="F17" s="21"/>
      <c r="G17" s="13">
        <v>1500</v>
      </c>
      <c r="H17" s="17">
        <f>B17*G17*C17</f>
        <v>6000</v>
      </c>
    </row>
    <row r="18" spans="2:8">
      <c r="B18" s="4">
        <v>2</v>
      </c>
      <c r="C18" s="6">
        <v>1</v>
      </c>
      <c r="D18" s="20" t="s">
        <v>22</v>
      </c>
      <c r="E18" s="21"/>
      <c r="F18" s="21"/>
      <c r="G18" s="14">
        <v>500</v>
      </c>
      <c r="H18" s="17">
        <f t="shared" ref="H18:H29" si="0">B18*G18*C18</f>
        <v>1000</v>
      </c>
    </row>
    <row r="19" spans="2:8">
      <c r="B19" s="4">
        <v>1</v>
      </c>
      <c r="C19" s="6">
        <v>1</v>
      </c>
      <c r="D19" s="20" t="s">
        <v>23</v>
      </c>
      <c r="E19" s="21"/>
      <c r="F19" s="21"/>
      <c r="G19" s="15">
        <v>1000</v>
      </c>
      <c r="H19" s="17">
        <f t="shared" si="0"/>
        <v>1000</v>
      </c>
    </row>
    <row r="20" spans="2:8">
      <c r="B20" s="4">
        <v>1</v>
      </c>
      <c r="C20" s="6">
        <v>1</v>
      </c>
      <c r="D20" s="20" t="s">
        <v>24</v>
      </c>
      <c r="E20" s="21"/>
      <c r="F20" s="21"/>
      <c r="G20" s="14">
        <v>5000</v>
      </c>
      <c r="H20" s="17">
        <f t="shared" si="0"/>
        <v>5000</v>
      </c>
    </row>
    <row r="21" spans="2:8">
      <c r="B21" s="4">
        <v>1</v>
      </c>
      <c r="C21" s="6">
        <v>1</v>
      </c>
      <c r="D21" s="20" t="s">
        <v>25</v>
      </c>
      <c r="E21" s="21"/>
      <c r="F21" s="21"/>
      <c r="G21" s="14">
        <v>18000</v>
      </c>
      <c r="H21" s="17">
        <f t="shared" si="0"/>
        <v>18000</v>
      </c>
    </row>
    <row r="22" spans="2:8">
      <c r="B22" s="4">
        <v>1</v>
      </c>
      <c r="C22" s="6">
        <v>1</v>
      </c>
      <c r="D22" s="20" t="s">
        <v>26</v>
      </c>
      <c r="E22" s="21"/>
      <c r="F22" s="21"/>
      <c r="G22" s="14">
        <v>1500</v>
      </c>
      <c r="H22" s="17">
        <f t="shared" si="0"/>
        <v>1500</v>
      </c>
    </row>
    <row r="23" spans="2:8">
      <c r="B23" s="4">
        <v>1</v>
      </c>
      <c r="C23" s="6">
        <v>1</v>
      </c>
      <c r="D23" s="27" t="s">
        <v>27</v>
      </c>
      <c r="E23" s="28"/>
      <c r="F23" s="29"/>
      <c r="G23" s="14">
        <v>1500</v>
      </c>
      <c r="H23" s="17">
        <f t="shared" si="0"/>
        <v>1500</v>
      </c>
    </row>
    <row r="24" spans="2:8">
      <c r="B24" s="4">
        <v>2</v>
      </c>
      <c r="C24" s="6">
        <v>1</v>
      </c>
      <c r="D24" s="27" t="s">
        <v>28</v>
      </c>
      <c r="E24" s="28"/>
      <c r="F24" s="29"/>
      <c r="G24" s="14">
        <v>1000</v>
      </c>
      <c r="H24" s="17">
        <f t="shared" si="0"/>
        <v>2000</v>
      </c>
    </row>
    <row r="25" spans="2:8">
      <c r="B25" s="4">
        <v>1</v>
      </c>
      <c r="C25" s="6">
        <v>1</v>
      </c>
      <c r="D25" s="27" t="s">
        <v>30</v>
      </c>
      <c r="E25" s="28"/>
      <c r="F25" s="29"/>
      <c r="G25" s="14">
        <v>1500</v>
      </c>
      <c r="H25" s="17">
        <f t="shared" si="0"/>
        <v>1500</v>
      </c>
    </row>
    <row r="26" spans="2:8">
      <c r="B26" s="4">
        <v>1</v>
      </c>
      <c r="C26" s="6">
        <v>1</v>
      </c>
      <c r="D26" s="27" t="s">
        <v>31</v>
      </c>
      <c r="E26" s="28"/>
      <c r="F26" s="29"/>
      <c r="G26" s="9">
        <v>2000</v>
      </c>
      <c r="H26" s="17">
        <f t="shared" si="0"/>
        <v>2000</v>
      </c>
    </row>
    <row r="27" spans="2:8">
      <c r="B27" s="4"/>
      <c r="C27" s="6"/>
      <c r="D27" s="27"/>
      <c r="E27" s="28"/>
      <c r="F27" s="29"/>
      <c r="G27" s="9"/>
      <c r="H27" s="17">
        <f t="shared" si="0"/>
        <v>0</v>
      </c>
    </row>
    <row r="28" spans="2:8">
      <c r="B28" s="4"/>
      <c r="C28" s="6"/>
      <c r="D28" s="27"/>
      <c r="E28" s="28"/>
      <c r="F28" s="29"/>
      <c r="G28" s="9"/>
      <c r="H28" s="17">
        <f t="shared" si="0"/>
        <v>0</v>
      </c>
    </row>
    <row r="29" spans="2:8">
      <c r="B29" s="4"/>
      <c r="C29" s="6"/>
      <c r="D29" s="27"/>
      <c r="E29" s="28"/>
      <c r="F29" s="29"/>
      <c r="G29" s="9"/>
      <c r="H29" s="17">
        <f t="shared" si="0"/>
        <v>0</v>
      </c>
    </row>
    <row r="30" spans="2:8">
      <c r="D30" s="30"/>
      <c r="E30" s="30"/>
      <c r="F30" s="30"/>
      <c r="G30" s="10" t="s">
        <v>9</v>
      </c>
      <c r="H30" s="11">
        <f>SUM(H17:H29)</f>
        <v>39500</v>
      </c>
    </row>
    <row r="31" spans="2:8">
      <c r="G31" s="10" t="s">
        <v>16</v>
      </c>
      <c r="H31" s="12">
        <f>H30*0.15</f>
        <v>5925</v>
      </c>
    </row>
    <row r="32" spans="2:8">
      <c r="G32" s="10" t="s">
        <v>9</v>
      </c>
      <c r="H32" s="12">
        <f>H31+H30</f>
        <v>45425</v>
      </c>
    </row>
    <row r="39" spans="2:8" ht="62.4" customHeight="1"/>
    <row r="41" spans="2:8" ht="27.6" customHeight="1"/>
    <row r="42" spans="2:8" ht="5.4" customHeight="1">
      <c r="B42" s="5"/>
      <c r="C42" s="5"/>
      <c r="D42" s="5"/>
      <c r="E42" s="5"/>
      <c r="F42" s="5"/>
      <c r="G42" s="5"/>
      <c r="H42" s="5"/>
    </row>
    <row r="44" spans="2:8" ht="25.2" customHeight="1"/>
    <row r="51" ht="21" customHeight="1"/>
    <row r="53" ht="1.95" customHeight="1"/>
    <row r="54" ht="7.95" customHeight="1"/>
    <row r="55" ht="16.05" customHeight="1"/>
    <row r="57" ht="6" customHeight="1"/>
    <row r="58" ht="9.75" customHeight="1"/>
  </sheetData>
  <mergeCells count="25">
    <mergeCell ref="D19:F19"/>
    <mergeCell ref="D29:F29"/>
    <mergeCell ref="D30:F30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B1:H1"/>
    <mergeCell ref="B12:C12"/>
    <mergeCell ref="B13:C13"/>
    <mergeCell ref="D13:G13"/>
    <mergeCell ref="D14:E14"/>
    <mergeCell ref="D12:E12"/>
    <mergeCell ref="G12:H12"/>
    <mergeCell ref="F14:G14"/>
    <mergeCell ref="D15:E15"/>
    <mergeCell ref="D16:F16"/>
    <mergeCell ref="D17:F17"/>
    <mergeCell ref="F15:G15"/>
    <mergeCell ref="D18:F18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2025-03-20T05:12:04Z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