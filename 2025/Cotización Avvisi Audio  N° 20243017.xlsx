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4840EF9C-908D-4E32-8668-4B45B628426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9" i="1" l="1"/>
  <c r="H21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<sst xmlns="http://schemas.openxmlformats.org/spreadsheetml/2006/main" count="25" uniqueCount="25">
  <si>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</si>
  <si>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</si>
  <si>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</si>
  <si>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</si>
  <si>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</si>
  <si>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</si>
  <si>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</si>
  <si>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</si>
  <si>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</si>
  <si>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</si>
  <si>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</si>
  <si>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</si>
  <si>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</si>
  <si>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</si>
  <si>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</si>
  <si>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</si>
  <si>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</si>
  <si>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</si>
  <si>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>2024-318</t>
  </si>
  <si>
    <t>6 de Julio 2024</t>
  </si>
  <si>
    <t xml:space="preserve">Cinthia Jimenez </t>
  </si>
  <si>
    <t>Fiesta</t>
  </si>
  <si>
    <t>Tegucigalpa / Mirador</t>
  </si>
  <si>
    <t>Pantalla de 70" en estructura</t>
  </si>
  <si>
    <t>Pista blanca de 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</si>
</sst>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4">
    <xf numFmtId="0" fontId="0" fillId="0" borderId="0"/>
    <xf numFmtId="0" fontId="3" fillId="4" borderId="4" applyNumberFormat="0" applyAlignment="0" applyProtection="0"/>
    <xf numFmtId="0" fontId="4" fillId="5" borderId="0" applyNumberFormat="0" applyBorder="0" applyAlignment="0" applyProtection="0"/>
    <xf numFmtId="0" fontId="5" fillId="3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5" fillId="3" borderId="3" xfId="3" applyBorder="1" applyAlignment="1">
      <alignment horizontal="center"/>
    </xf>
    <xf numFmtId="164" fontId="5" fillId="3" borderId="3" xfId="3" applyNumberFormat="1" applyBorder="1"/>
    <xf numFmtId="164" fontId="3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5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164" fontId="7" fillId="2" borderId="3" xfId="3" applyNumberFormat="1" applyFont="1" applyFill="1" applyBorder="1"/>
    <xf numFmtId="164" fontId="7" fillId="2" borderId="3" xfId="1" applyNumberFormat="1" applyFont="1" applyFill="1" applyBorder="1"/>
    <xf numFmtId="0" fontId="6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5" fillId="3" borderId="3" xfId="3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4496" y="4913357"/>
          <a:ext cx="50716" cy="3365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202141"/>
          <a:ext cx="6623735" cy="1356825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350838</xdr:colOff>
      <xdr:row>18</xdr:row>
      <xdr:rowOff>71438</xdr:rowOff>
    </xdr:from>
    <xdr:to>
      <xdr:col>8</xdr:col>
      <xdr:colOff>373063</xdr:colOff>
      <xdr:row>29</xdr:row>
      <xdr:rowOff>41190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50838" y="3418060"/>
          <a:ext cx="6550711" cy="20086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29</xdr:row>
      <xdr:rowOff>403225</xdr:rowOff>
    </xdr:from>
    <xdr:to>
      <xdr:col>4</xdr:col>
      <xdr:colOff>20320</xdr:colOff>
      <xdr:row>36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29</xdr:row>
      <xdr:rowOff>417512</xdr:rowOff>
    </xdr:from>
    <xdr:to>
      <xdr:col>8</xdr:col>
      <xdr:colOff>424180</xdr:colOff>
      <xdr:row>36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1"/>
  <sheetViews>
    <sheetView tabSelected="1" view="pageLayout" topLeftCell="A6" zoomScale="74" zoomScaleNormal="100" zoomScaleSheetLayoutView="112" zoomScalePageLayoutView="74" workbookViewId="0">
      <selection activeCell="I12" sqref="I12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22"/>
      <c r="C1" s="22"/>
      <c r="D1" s="22"/>
      <c r="E1" s="22"/>
      <c r="F1" s="22"/>
      <c r="G1" s="22"/>
      <c r="H1" s="22"/>
    </row>
    <row r="5" spans="2:9" ht="15" thickBot="1"/>
    <row r="6" spans="2:9" ht="15" thickBot="1">
      <c r="H6" s="10" t="s">
        <v>13</v>
      </c>
      <c r="I6" s="10" t="s">
        <v>18</v>
      </c>
    </row>
    <row r="12" spans="2:9" ht="12.6" customHeight="1">
      <c r="B12" s="23" t="s">
        <v>0</v>
      </c>
      <c r="C12" s="23"/>
      <c r="D12" s="26" t="s">
        <v>20</v>
      </c>
      <c r="E12" s="24"/>
      <c r="F12" t="s">
        <v>12</v>
      </c>
      <c r="G12" s="19" t="s">
        <v>15</v>
      </c>
      <c r="H12" s="19"/>
    </row>
    <row r="13" spans="2:9" ht="14.4" customHeight="1">
      <c r="B13" s="23" t="s">
        <v>1</v>
      </c>
      <c r="C13" s="23"/>
      <c r="D13" s="26" t="s">
        <v>22</v>
      </c>
      <c r="E13" s="24"/>
      <c r="F13" s="24"/>
      <c r="G13" s="24"/>
    </row>
    <row r="14" spans="2:9">
      <c r="B14" s="1" t="s">
        <v>2</v>
      </c>
      <c r="C14" s="1" t="s">
        <v>3</v>
      </c>
      <c r="D14" s="25" t="s">
        <v>4</v>
      </c>
      <c r="E14" s="25"/>
      <c r="F14" s="22" t="s">
        <v>11</v>
      </c>
      <c r="G14" s="22"/>
      <c r="H14" s="22"/>
    </row>
    <row r="15" spans="2:9">
      <c r="B15" s="2">
        <v>45493</v>
      </c>
      <c r="C15" s="1" t="s">
        <v>14</v>
      </c>
      <c r="D15" s="18" t="s">
        <v>19</v>
      </c>
      <c r="E15" s="18"/>
      <c r="F15" s="19" t="s">
        <v>21</v>
      </c>
      <c r="G15" s="19"/>
      <c r="H15" s="19"/>
    </row>
    <row r="16" spans="2:9" ht="15.6">
      <c r="B16" s="3" t="s">
        <v>5</v>
      </c>
      <c r="C16" s="3" t="s">
        <v>9</v>
      </c>
      <c r="D16" s="20" t="s">
        <v>6</v>
      </c>
      <c r="E16" s="20"/>
      <c r="F16" s="20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1" t="s">
        <v>23</v>
      </c>
      <c r="E17" s="17"/>
      <c r="F17" s="17"/>
      <c r="G17" s="5">
        <v>3000</v>
      </c>
      <c r="H17" s="8">
        <f>B17*G17</f>
        <v>3000</v>
      </c>
    </row>
    <row r="18" spans="2:8">
      <c r="B18" s="4">
        <v>1</v>
      </c>
      <c r="C18" s="9">
        <v>1</v>
      </c>
      <c r="D18" s="27" t="s">
        <v>24</v>
      </c>
      <c r="E18" s="14"/>
      <c r="F18" s="14"/>
      <c r="G18" s="5">
        <v>3500</v>
      </c>
      <c r="H18" s="8">
        <f>B18*G18</f>
        <v>3500</v>
      </c>
    </row>
    <row r="19" spans="2:8">
      <c r="D19" s="15"/>
      <c r="E19" s="15"/>
      <c r="F19" s="15"/>
      <c r="G19" s="11" t="s">
        <v>10</v>
      </c>
      <c r="H19" s="6">
        <f>SUM(H17:H18)</f>
        <v>6500</v>
      </c>
    </row>
    <row r="20" spans="2:8">
      <c r="D20" s="16"/>
      <c r="E20" s="16"/>
      <c r="F20" s="16"/>
      <c r="G20" s="11" t="s">
        <v>16</v>
      </c>
      <c r="H20" s="12"/>
    </row>
    <row r="21" spans="2:8">
      <c r="D21" s="16"/>
      <c r="E21" s="16"/>
      <c r="F21" s="16"/>
      <c r="G21" s="11" t="s">
        <v>17</v>
      </c>
      <c r="H21" s="13">
        <f>H19+H20</f>
        <v>6500</v>
      </c>
    </row>
    <row r="30" spans="2:8" ht="33" customHeight="1"/>
    <row r="32" spans="2:8" ht="46.2" customHeight="1"/>
    <row r="33" spans="2:8" ht="6" customHeight="1">
      <c r="B33" s="7"/>
      <c r="C33" s="7"/>
      <c r="D33" s="7"/>
      <c r="E33" s="7"/>
      <c r="F33" s="7"/>
      <c r="G33" s="7"/>
      <c r="H33" s="7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6"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D20:F20"/>
    <mergeCell ref="D21:F21"/>
    <mergeCell ref="D18:F18"/>
    <mergeCell ref="D19:F19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2024-07-03T16:08:54Z</cp:lastPrinted>
  <dcterms:created xsi:type="dcterms:W3CDTF">2022-10-19T19:05:00Z</dcterms:created>
  <dcterms:modified xsi:type="dcterms:W3CDTF">2024-07-06T15:52:17Z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