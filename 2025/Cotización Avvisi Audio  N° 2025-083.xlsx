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9393917-12B0-4805-992F-62B9FB90329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 s="1"/>
  <c r="G17" i="1"/>
  <c r="H17" i="1" s="1"/>
  <c r="H19" i="1"/>
  <c r="H20" i="1"/>
  <c r="H21" i="1"/>
  <c r="H22" i="1"/>
  <c r="H23" i="1"/>
  <c r="H24" i="1"/>
  <c r="H25" i="1"/>
  <c r="H26" i="1"/>
  <c r="H27" i="1"/>
  <c r="H28" i="1"/>
  <c r="H29" i="1"/>
  <c r="H30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<sst xmlns="http://schemas.openxmlformats.org/spreadsheetml/2006/main" count="36" uniqueCount="35">
  <si>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</si>
  <si>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</si>
  <si>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</si>
  <si>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</si>
  <si>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</si>
  <si>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</si>
  <si>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</si>
  <si>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</si>
  <si>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</si>
  <si>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</si>
  <si>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</si>
  <si>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</si>
  <si>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</si>
  <si>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</si>
  <si>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</si>
  <si>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</si>
  <si>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Sistema de audio </t>
  </si>
  <si>
    <t>Microfono shure de Ganzo</t>
  </si>
  <si>
    <t>Microfonos inalambricos Shure sm58</t>
  </si>
  <si>
    <t>Procesadores de video</t>
  </si>
  <si>
    <t>Iluminacion para escenario y salon</t>
  </si>
  <si>
    <t>Tarimas para medios</t>
  </si>
  <si>
    <t>Montaje y desmontaje</t>
  </si>
  <si>
    <t>Tecnicos de Audio, Iluminacion y Pantalla</t>
  </si>
  <si>
    <t>Lic.Tania Ulloa</t>
  </si>
  <si>
    <t>Personal de Staff</t>
  </si>
  <si>
    <t>13,14,15 de Marzo 2025</t>
  </si>
  <si>
    <t>Conferencia</t>
  </si>
  <si>
    <t>Camara de Comercio Industrias de Cortes</t>
  </si>
  <si>
    <t>FUNDAHRSE</t>
  </si>
  <si>
    <t>Pantalla Led 4X3 mts</t>
  </si>
  <si>
    <t>Pantalla Led 7x4 mts</t>
  </si>
  <si>
    <t>Tarima 15mts x 5mts</t>
  </si>
  <si>
    <t>Podium de acrilico con pantalla led</t>
  </si>
  <si>
    <t>2025-084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</si>
</sst>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164" fontId="5" fillId="3" borderId="3" xfId="2" applyNumberForma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6549828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915193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127000</xdr:colOff>
      <xdr:row>29</xdr:row>
      <xdr:rowOff>151308</xdr:rowOff>
    </xdr:from>
    <xdr:to>
      <xdr:col>8</xdr:col>
      <xdr:colOff>45268</xdr:colOff>
      <xdr:row>40</xdr:row>
      <xdr:rowOff>14708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27000" y="5412737"/>
          <a:ext cx="6993982" cy="2466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zoomScale="103" zoomScaleNormal="100" zoomScaleSheetLayoutView="112" zoomScalePageLayoutView="103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5.109375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29" t="s">
        <v>34</v>
      </c>
    </row>
    <row r="12" spans="2:9" ht="12.6" customHeight="1">
      <c r="B12" s="24" t="s">
        <v>14</v>
      </c>
      <c r="C12" s="24"/>
      <c r="D12" s="33" t="s">
        <v>29</v>
      </c>
      <c r="E12" s="25"/>
      <c r="F12" t="s">
        <v>11</v>
      </c>
      <c r="G12" s="22" t="s">
        <v>24</v>
      </c>
      <c r="H12" s="22"/>
    </row>
    <row r="13" spans="2:9" ht="14.4" customHeight="1">
      <c r="B13" s="24" t="s">
        <v>0</v>
      </c>
      <c r="C13" s="24"/>
      <c r="D13" s="33" t="s">
        <v>28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45719</v>
      </c>
      <c r="C15" s="1"/>
      <c r="D15" s="31" t="s">
        <v>26</v>
      </c>
      <c r="E15" s="18"/>
      <c r="F15" s="32" t="s">
        <v>27</v>
      </c>
      <c r="G15" s="22"/>
      <c r="H15" s="8">
        <v>500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4">
        <v>1</v>
      </c>
      <c r="C17" s="4">
        <v>3</v>
      </c>
      <c r="D17" s="20" t="s">
        <v>31</v>
      </c>
      <c r="E17" s="21"/>
      <c r="F17" s="21"/>
      <c r="G17" s="15">
        <f>112*700</f>
        <v>78400</v>
      </c>
      <c r="H17" s="6">
        <f t="shared" ref="H17:H29" si="0">B17*C17*G17</f>
        <v>235200</v>
      </c>
    </row>
    <row r="18" spans="2:8">
      <c r="B18" s="4">
        <v>2</v>
      </c>
      <c r="C18" s="4">
        <v>3</v>
      </c>
      <c r="D18" s="20" t="s">
        <v>30</v>
      </c>
      <c r="E18" s="21"/>
      <c r="F18" s="21"/>
      <c r="G18" s="10">
        <f>48*700</f>
        <v>33600</v>
      </c>
      <c r="H18" s="6">
        <f t="shared" si="0"/>
        <v>201600</v>
      </c>
    </row>
    <row r="19" spans="2:8">
      <c r="B19" s="4">
        <v>1</v>
      </c>
      <c r="C19" s="4">
        <v>3</v>
      </c>
      <c r="D19" s="30" t="s">
        <v>32</v>
      </c>
      <c r="E19" s="16"/>
      <c r="F19" s="17"/>
      <c r="G19" s="10">
        <v>15000</v>
      </c>
      <c r="H19" s="6">
        <f t="shared" si="0"/>
        <v>45000</v>
      </c>
    </row>
    <row r="20" spans="2:8">
      <c r="B20" s="4">
        <v>1</v>
      </c>
      <c r="C20" s="4">
        <v>3</v>
      </c>
      <c r="D20" s="20" t="s">
        <v>33</v>
      </c>
      <c r="E20" s="21"/>
      <c r="F20" s="21"/>
      <c r="G20" s="14">
        <v>3000</v>
      </c>
      <c r="H20" s="6">
        <f t="shared" si="0"/>
        <v>9000</v>
      </c>
    </row>
    <row r="21" spans="2:8">
      <c r="B21" s="4">
        <v>1</v>
      </c>
      <c r="C21" s="4">
        <v>3</v>
      </c>
      <c r="D21" s="20" t="s">
        <v>16</v>
      </c>
      <c r="E21" s="21"/>
      <c r="F21" s="21"/>
      <c r="G21" s="10">
        <v>20000</v>
      </c>
      <c r="H21" s="6">
        <f t="shared" si="0"/>
        <v>60000</v>
      </c>
    </row>
    <row r="22" spans="2:8">
      <c r="B22" s="7">
        <v>6</v>
      </c>
      <c r="C22" s="4">
        <v>3</v>
      </c>
      <c r="D22" s="20" t="s">
        <v>18</v>
      </c>
      <c r="E22" s="21"/>
      <c r="F22" s="21"/>
      <c r="G22" s="10">
        <v>250</v>
      </c>
      <c r="H22" s="6">
        <f t="shared" si="0"/>
        <v>4500</v>
      </c>
    </row>
    <row r="23" spans="2:8">
      <c r="B23" s="4">
        <v>1</v>
      </c>
      <c r="C23" s="7">
        <v>3</v>
      </c>
      <c r="D23" s="20" t="s">
        <v>17</v>
      </c>
      <c r="E23" s="21"/>
      <c r="F23" s="21"/>
      <c r="G23" s="10">
        <v>1000</v>
      </c>
      <c r="H23" s="6">
        <f t="shared" si="0"/>
        <v>3000</v>
      </c>
    </row>
    <row r="24" spans="2:8">
      <c r="B24" s="4">
        <v>2</v>
      </c>
      <c r="C24" s="7">
        <v>3</v>
      </c>
      <c r="D24" s="27" t="s">
        <v>19</v>
      </c>
      <c r="E24" s="16"/>
      <c r="F24" s="17"/>
      <c r="G24" s="10">
        <v>2000</v>
      </c>
      <c r="H24" s="6">
        <f t="shared" si="0"/>
        <v>12000</v>
      </c>
    </row>
    <row r="25" spans="2:8">
      <c r="B25" s="4">
        <v>1</v>
      </c>
      <c r="C25" s="7">
        <v>3</v>
      </c>
      <c r="D25" s="27" t="s">
        <v>20</v>
      </c>
      <c r="E25" s="16"/>
      <c r="F25" s="17"/>
      <c r="G25" s="10">
        <v>9000</v>
      </c>
      <c r="H25" s="6">
        <f t="shared" si="0"/>
        <v>27000</v>
      </c>
    </row>
    <row r="26" spans="2:8">
      <c r="B26" s="4">
        <v>2</v>
      </c>
      <c r="C26" s="7">
        <v>3</v>
      </c>
      <c r="D26" s="27" t="s">
        <v>21</v>
      </c>
      <c r="E26" s="16"/>
      <c r="F26" s="17"/>
      <c r="G26" s="10">
        <v>2500</v>
      </c>
      <c r="H26" s="6">
        <f t="shared" si="0"/>
        <v>15000</v>
      </c>
    </row>
    <row r="27" spans="2:8">
      <c r="B27" s="4">
        <v>4</v>
      </c>
      <c r="C27" s="7">
        <v>2</v>
      </c>
      <c r="D27" s="27" t="s">
        <v>22</v>
      </c>
      <c r="E27" s="16"/>
      <c r="F27" s="17"/>
      <c r="G27" s="10">
        <v>1000</v>
      </c>
      <c r="H27" s="6">
        <f t="shared" si="0"/>
        <v>8000</v>
      </c>
    </row>
    <row r="28" spans="2:8">
      <c r="B28" s="4">
        <v>3</v>
      </c>
      <c r="C28" s="7">
        <v>3</v>
      </c>
      <c r="D28" s="27" t="s">
        <v>23</v>
      </c>
      <c r="E28" s="16"/>
      <c r="F28" s="17"/>
      <c r="G28" s="10">
        <v>2000</v>
      </c>
      <c r="H28" s="6">
        <f t="shared" si="0"/>
        <v>18000</v>
      </c>
    </row>
    <row r="29" spans="2:8">
      <c r="B29" s="4">
        <v>2</v>
      </c>
      <c r="C29" s="7">
        <v>3</v>
      </c>
      <c r="D29" s="27" t="s">
        <v>25</v>
      </c>
      <c r="E29" s="16"/>
      <c r="F29" s="17"/>
      <c r="G29" s="10">
        <v>1000</v>
      </c>
      <c r="H29" s="6">
        <f t="shared" si="0"/>
        <v>6000</v>
      </c>
    </row>
    <row r="30" spans="2:8">
      <c r="D30" s="28"/>
      <c r="E30" s="28"/>
      <c r="F30" s="28"/>
      <c r="G30" s="11" t="s">
        <v>9</v>
      </c>
      <c r="H30" s="12">
        <f>SUM(H17:H29)</f>
        <v>644300</v>
      </c>
    </row>
    <row r="31" spans="2:8">
      <c r="G31" s="11" t="s">
        <v>15</v>
      </c>
      <c r="H31" s="13"/>
    </row>
    <row r="32" spans="2:8">
      <c r="G32" s="11" t="s">
        <v>9</v>
      </c>
      <c r="H32" s="13">
        <f>H31+H30</f>
        <v>644300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20:F20"/>
    <mergeCell ref="D30:F30"/>
    <mergeCell ref="D24:F24"/>
    <mergeCell ref="D23:F23"/>
    <mergeCell ref="D21:F21"/>
    <mergeCell ref="D22:F22"/>
    <mergeCell ref="D25:F25"/>
    <mergeCell ref="D27:F27"/>
    <mergeCell ref="D26:F26"/>
    <mergeCell ref="D29:F29"/>
    <mergeCell ref="D28:F2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2025-02-20T17:44:45Z</cp:lastPrinted>
  <dcterms:created xsi:type="dcterms:W3CDTF">2022-10-19T19:05:00Z</dcterms:created>
  <dcterms:modified xsi:type="dcterms:W3CDTF">2025-03-03T05:28:38Z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