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87DD876-A17C-4174-8812-86EEF986F56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 l="1"/>
  <c r="H24" i="1" l="1"/>
  <c r="H25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<sst xmlns="http://schemas.openxmlformats.org/spreadsheetml/2006/main" count="30" uniqueCount="29">
  <si>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</si>
  <si>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</si>
  <si>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</si>
  <si>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</si>
  <si>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</si>
  <si>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</si>
  <si>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</si>
  <si>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</si>
  <si>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</si>
  <si>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</si>
  <si>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</si>
  <si>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</si>
  <si>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</si>
  <si>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</si>
  <si>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</si>
  <si>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</si>
  <si>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5 Horas </t>
  </si>
  <si>
    <t xml:space="preserve">Transporte </t>
  </si>
  <si>
    <t xml:space="preserve">Microfonos Inalambricos </t>
  </si>
  <si>
    <t>Tecnicos y personal de staff</t>
  </si>
  <si>
    <t xml:space="preserve">Tegucigalpa </t>
  </si>
  <si>
    <t>Grupo Q</t>
  </si>
  <si>
    <t xml:space="preserve">Eufemio Martinez   </t>
  </si>
  <si>
    <t xml:space="preserve">3 de mayo </t>
  </si>
  <si>
    <t xml:space="preserve">Evento de Marca </t>
  </si>
  <si>
    <t xml:space="preserve">Audio de barra tipo corporativo </t>
  </si>
  <si>
    <t xml:space="preserve">Consola de audio </t>
  </si>
  <si>
    <t xml:space="preserve">Pantalla led de 6 x 3 Metros </t>
  </si>
  <si>
    <t>2025-118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</si>
</sst>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4" xfId="2" applyNumberFormat="1" applyBorder="1" applyAlignment="1">
      <alignment horizontal="center"/>
    </xf>
    <xf numFmtId="164" fontId="6" fillId="3" borderId="4" xfId="2" applyNumberFormat="1" applyBorder="1" applyAlignment="1"/>
    <xf numFmtId="164" fontId="0" fillId="3" borderId="4" xfId="2" applyNumberFormat="1" applyFont="1" applyBorder="1" applyAlignment="1"/>
    <xf numFmtId="0" fontId="4" fillId="2" borderId="6" xfId="1" applyFont="1" applyFill="1" applyBorder="1" applyAlignment="1">
      <alignment horizontal="center"/>
    </xf>
    <xf numFmtId="164" fontId="6" fillId="3" borderId="7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5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123" y="5213314"/>
          <a:ext cx="50716" cy="33276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818"/>
          <a:ext cx="6703321" cy="1322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7398</xdr:colOff>
      <xdr:row>22</xdr:row>
      <xdr:rowOff>35608</xdr:rowOff>
    </xdr:from>
    <xdr:to>
      <xdr:col>7</xdr:col>
      <xdr:colOff>1118074</xdr:colOff>
      <xdr:row>32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8" y="5390972"/>
          <a:ext cx="6829237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10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31</xdr:row>
      <xdr:rowOff>601411</xdr:rowOff>
    </xdr:from>
    <xdr:to>
      <xdr:col>4</xdr:col>
      <xdr:colOff>168596</xdr:colOff>
      <xdr:row>33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31</xdr:row>
      <xdr:rowOff>612567</xdr:rowOff>
    </xdr:from>
    <xdr:to>
      <xdr:col>7</xdr:col>
      <xdr:colOff>991200</xdr:colOff>
      <xdr:row>35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28</xdr:row>
      <xdr:rowOff>149553</xdr:rowOff>
    </xdr:from>
    <xdr:to>
      <xdr:col>4</xdr:col>
      <xdr:colOff>628779</xdr:colOff>
      <xdr:row>35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5" zoomScale="108" zoomScaleNormal="100" zoomScaleSheetLayoutView="112" zoomScalePageLayoutView="108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0" t="s">
        <v>28</v>
      </c>
    </row>
    <row r="12" spans="2:9" ht="12.6" customHeight="1">
      <c r="B12" s="25" t="s">
        <v>14</v>
      </c>
      <c r="C12" s="25"/>
      <c r="D12" s="26" t="s">
        <v>21</v>
      </c>
      <c r="E12" s="27"/>
      <c r="F12" t="s">
        <v>11</v>
      </c>
      <c r="G12" s="23" t="s">
        <v>22</v>
      </c>
      <c r="H12" s="23"/>
    </row>
    <row r="13" spans="2:9" ht="14.4" customHeight="1">
      <c r="B13" s="25" t="s">
        <v>0</v>
      </c>
      <c r="C13" s="25"/>
      <c r="D13" s="26" t="s">
        <v>20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45741</v>
      </c>
      <c r="C15" s="1" t="s">
        <v>16</v>
      </c>
      <c r="D15" s="17" t="s">
        <v>23</v>
      </c>
      <c r="E15" s="18"/>
      <c r="F15" s="22" t="s">
        <v>24</v>
      </c>
      <c r="G15" s="23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5" t="s">
        <v>7</v>
      </c>
    </row>
    <row r="17" spans="2:8">
      <c r="B17" s="4">
        <v>1</v>
      </c>
      <c r="C17" s="4">
        <v>1</v>
      </c>
      <c r="D17" s="20" t="s">
        <v>27</v>
      </c>
      <c r="E17" s="21"/>
      <c r="F17" s="21"/>
      <c r="G17" s="12">
        <v>32000</v>
      </c>
      <c r="H17" s="16">
        <f t="shared" ref="H17" si="0">B17*G17*C17</f>
        <v>32000</v>
      </c>
    </row>
    <row r="18" spans="2:8">
      <c r="B18" s="4">
        <v>1</v>
      </c>
      <c r="C18" s="6">
        <v>1</v>
      </c>
      <c r="D18" s="20" t="s">
        <v>25</v>
      </c>
      <c r="E18" s="21"/>
      <c r="F18" s="21"/>
      <c r="G18" s="13">
        <v>3500</v>
      </c>
      <c r="H18" s="16">
        <f t="shared" ref="H18:H22" si="1">B18*G18*C18</f>
        <v>3500</v>
      </c>
    </row>
    <row r="19" spans="2:8">
      <c r="B19" s="4">
        <v>1</v>
      </c>
      <c r="C19" s="6">
        <v>1</v>
      </c>
      <c r="D19" s="20" t="s">
        <v>26</v>
      </c>
      <c r="E19" s="21"/>
      <c r="F19" s="21"/>
      <c r="G19" s="14">
        <v>0</v>
      </c>
      <c r="H19" s="16">
        <f t="shared" si="1"/>
        <v>0</v>
      </c>
    </row>
    <row r="20" spans="2:8">
      <c r="B20" s="4">
        <v>2</v>
      </c>
      <c r="C20" s="6">
        <v>1</v>
      </c>
      <c r="D20" s="20" t="s">
        <v>18</v>
      </c>
      <c r="E20" s="21"/>
      <c r="F20" s="21"/>
      <c r="G20" s="14">
        <v>250</v>
      </c>
      <c r="H20" s="16">
        <f t="shared" si="1"/>
        <v>500</v>
      </c>
    </row>
    <row r="21" spans="2:8">
      <c r="B21" s="4">
        <v>1</v>
      </c>
      <c r="C21" s="6">
        <v>1</v>
      </c>
      <c r="D21" s="20" t="s">
        <v>17</v>
      </c>
      <c r="E21" s="21"/>
      <c r="F21" s="21"/>
      <c r="G21" s="14">
        <v>2500</v>
      </c>
      <c r="H21" s="16">
        <f t="shared" si="1"/>
        <v>2500</v>
      </c>
    </row>
    <row r="22" spans="2:8">
      <c r="B22" s="6">
        <v>3</v>
      </c>
      <c r="C22" s="6">
        <v>1</v>
      </c>
      <c r="D22" s="20" t="s">
        <v>19</v>
      </c>
      <c r="E22" s="21"/>
      <c r="F22" s="21"/>
      <c r="G22" s="14">
        <v>1000</v>
      </c>
      <c r="H22" s="16">
        <f t="shared" si="1"/>
        <v>3000</v>
      </c>
    </row>
    <row r="23" spans="2:8">
      <c r="D23" s="29"/>
      <c r="E23" s="29"/>
      <c r="F23" s="29"/>
      <c r="G23" s="9" t="s">
        <v>9</v>
      </c>
      <c r="H23" s="10">
        <f>SUM(H17:H22)</f>
        <v>41500</v>
      </c>
    </row>
    <row r="24" spans="2:8">
      <c r="G24" s="9" t="s">
        <v>15</v>
      </c>
      <c r="H24" s="11">
        <f>H23*0.15</f>
        <v>6225</v>
      </c>
    </row>
    <row r="25" spans="2:8">
      <c r="G25" s="9" t="s">
        <v>9</v>
      </c>
      <c r="H25" s="11">
        <f>H23+H24</f>
        <v>47725</v>
      </c>
    </row>
    <row r="32" spans="2:8" ht="62.4" customHeight="1"/>
    <row r="34" spans="2:8" ht="27.6" customHeight="1"/>
    <row r="35" spans="2:8" ht="5.4" customHeight="1">
      <c r="B35" s="5"/>
      <c r="C35" s="5"/>
      <c r="D35" s="5"/>
      <c r="E35" s="5"/>
      <c r="F35" s="5"/>
      <c r="G35" s="5"/>
      <c r="H35" s="5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19:F19"/>
    <mergeCell ref="D23:F23"/>
    <mergeCell ref="D22:F22"/>
    <mergeCell ref="D20:F20"/>
    <mergeCell ref="D21:F21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2025-03-25T05:39:18Z</cp:lastPrinted>
  <dcterms:created xsi:type="dcterms:W3CDTF">2022-10-19T19:05:00Z</dcterms:created>
  <dcterms:modified xsi:type="dcterms:W3CDTF">2025-03-26T05:32:20Z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