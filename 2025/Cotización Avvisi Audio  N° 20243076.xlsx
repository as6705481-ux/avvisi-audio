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7E3D82AF-67A2-4499-892B-9264D10AF7B7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24" i="1"/>
  <c r="H25" i="1"/>
  <c r="H26" i="1"/>
  <c r="H23" i="1"/>
  <c r="H22" i="1"/>
  <c r="H21" i="1"/>
  <c r="H20" i="1"/>
  <c r="H18" i="1"/>
  <c r="H17" i="1"/>
  <c r="H27" i="1" l="1"/>
  <c r="H28" i="1" s="1"/>
  <c r="H29" i="1" s="1"/>
</calcChain>
</file>

<file path=xl/sharedStrings.xml><?xml version="1.0" encoding="utf-8"?>
<sst xmlns="http://schemas.openxmlformats.org/spreadsheetml/2006/main" count="27" uniqueCount="26">
  <si>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</si>
  <si>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</si>
  <si>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</si>
  <si>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</si>
  <si>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</si>
  <si>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</si>
  <si>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</si>
  <si>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</si>
  <si>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</si>
  <si>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</si>
  <si>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</si>
  <si>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</si>
  <si>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</si>
  <si>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</si>
  <si>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Evento de Marca </t>
  </si>
  <si>
    <t xml:space="preserve">Cliente </t>
  </si>
  <si>
    <t xml:space="preserve">Eufemio Martinez </t>
  </si>
  <si>
    <t>ISV 15 %</t>
  </si>
  <si>
    <t xml:space="preserve">Grupo Q </t>
  </si>
  <si>
    <t xml:space="preserve">Activacion Juticalpa : Audio animador edecan </t>
  </si>
  <si>
    <t xml:space="preserve">Transporte ida y regreso </t>
  </si>
  <si>
    <t xml:space="preserve">Hotel </t>
  </si>
  <si>
    <t xml:space="preserve">Alimentacion </t>
  </si>
  <si>
    <t xml:space="preserve">Honduras </t>
  </si>
  <si>
    <t>2024-3076</t>
  </si>
  <si>
    <t xml:space="preserve">Activacion Catacamas : Audio animador edecan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</si>
</sst>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L-480A]* #,##0.00_-;\-[$L-480A]* #,##0.00_-;_-[$L-480A]* &quot;-&quot;??_-;_-@_-"/>
    <numFmt numFmtId="165" formatCode="[$-F800]dddd\,\ mmmm\ dd\,\ yyyy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164" fontId="7" fillId="3" borderId="3" xfId="2" applyNumberFormat="1" applyBorder="1" applyAlignment="1">
      <alignment vertic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0" fillId="3" borderId="3" xfId="2" applyNumberFormat="1" applyFont="1" applyBorder="1" applyAlignment="1"/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32</xdr:row>
      <xdr:rowOff>83925</xdr:rowOff>
    </xdr:from>
    <xdr:to>
      <xdr:col>1</xdr:col>
      <xdr:colOff>113617</xdr:colOff>
      <xdr:row>34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5301" y="5964025"/>
          <a:ext cx="50716" cy="334179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524"/>
          <a:ext cx="6682154" cy="132782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26</xdr:row>
      <xdr:rowOff>125768</xdr:rowOff>
    </xdr:from>
    <xdr:to>
      <xdr:col>7</xdr:col>
      <xdr:colOff>1050524</xdr:colOff>
      <xdr:row>36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4927108"/>
          <a:ext cx="6769222" cy="18717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71120</xdr:colOff>
      <xdr:row>35</xdr:row>
      <xdr:rowOff>266700</xdr:rowOff>
    </xdr:from>
    <xdr:to>
      <xdr:col>4</xdr:col>
      <xdr:colOff>118745</xdr:colOff>
      <xdr:row>40</xdr:row>
      <xdr:rowOff>254635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23520" y="6699250"/>
          <a:ext cx="2397125" cy="1169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675005</xdr:colOff>
      <xdr:row>35</xdr:row>
      <xdr:rowOff>292100</xdr:rowOff>
    </xdr:from>
    <xdr:to>
      <xdr:col>7</xdr:col>
      <xdr:colOff>827405</xdr:colOff>
      <xdr:row>37</xdr:row>
      <xdr:rowOff>247650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176905" y="6724650"/>
          <a:ext cx="3365500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5"/>
  <sheetViews>
    <sheetView tabSelected="1" view="pageLayout" topLeftCell="A7" zoomScale="120" zoomScaleNormal="100" zoomScaleSheetLayoutView="112" zoomScalePageLayoutView="120" workbookViewId="0">
      <selection activeCell="D24" sqref="D24:F24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1"/>
      <c r="C1" s="21"/>
      <c r="D1" s="21"/>
      <c r="E1" s="21"/>
      <c r="F1" s="21"/>
      <c r="G1" s="21"/>
      <c r="H1" s="21"/>
    </row>
    <row r="6" spans="2:9">
      <c r="H6" s="9" t="s">
        <v>12</v>
      </c>
      <c r="I6" s="1"/>
    </row>
    <row r="7" spans="2:9">
      <c r="H7" s="31" t="s">
        <v>24</v>
      </c>
    </row>
    <row r="12" spans="2:9" ht="12.6" customHeight="1">
      <c r="B12" s="22" t="s">
        <v>15</v>
      </c>
      <c r="C12" s="22"/>
      <c r="D12" s="30" t="s">
        <v>18</v>
      </c>
      <c r="E12" s="23"/>
      <c r="F12" t="s">
        <v>11</v>
      </c>
      <c r="G12" s="25" t="s">
        <v>16</v>
      </c>
      <c r="H12" s="25"/>
    </row>
    <row r="13" spans="2:9" ht="14.4" customHeight="1">
      <c r="B13" s="22" t="s">
        <v>0</v>
      </c>
      <c r="C13" s="22"/>
      <c r="D13" s="30" t="s">
        <v>23</v>
      </c>
      <c r="E13" s="23"/>
      <c r="F13" s="23"/>
      <c r="G13" s="23"/>
    </row>
    <row r="14" spans="2:9">
      <c r="B14" s="1" t="s">
        <v>1</v>
      </c>
      <c r="C14" s="1" t="s">
        <v>2</v>
      </c>
      <c r="D14" s="24" t="s">
        <v>3</v>
      </c>
      <c r="E14" s="24"/>
      <c r="F14" s="24" t="s">
        <v>10</v>
      </c>
      <c r="G14" s="24"/>
      <c r="H14" s="1" t="s">
        <v>13</v>
      </c>
    </row>
    <row r="15" spans="2:9">
      <c r="B15" s="2">
        <v>45593</v>
      </c>
      <c r="C15" s="1"/>
      <c r="D15" s="26">
        <v>45579</v>
      </c>
      <c r="E15" s="27"/>
      <c r="F15" s="29" t="s">
        <v>14</v>
      </c>
      <c r="G15" s="25"/>
      <c r="H15" s="8"/>
    </row>
    <row r="16" spans="2:9" ht="15.6">
      <c r="B16" s="3" t="s">
        <v>4</v>
      </c>
      <c r="C16" s="3" t="s">
        <v>8</v>
      </c>
      <c r="D16" s="28" t="s">
        <v>5</v>
      </c>
      <c r="E16" s="28"/>
      <c r="F16" s="28"/>
      <c r="G16" s="3" t="s">
        <v>6</v>
      </c>
      <c r="H16" s="3" t="s">
        <v>7</v>
      </c>
    </row>
    <row r="17" spans="2:8">
      <c r="B17" s="4">
        <v>1</v>
      </c>
      <c r="C17" s="4">
        <v>1</v>
      </c>
      <c r="D17" s="15" t="s">
        <v>25</v>
      </c>
      <c r="E17" s="16"/>
      <c r="F17" s="16"/>
      <c r="G17" s="10">
        <v>5500</v>
      </c>
      <c r="H17" s="6">
        <f>G17*B17*C17</f>
        <v>5500</v>
      </c>
    </row>
    <row r="18" spans="2:8">
      <c r="B18" s="4">
        <v>1</v>
      </c>
      <c r="C18" s="7">
        <v>2</v>
      </c>
      <c r="D18" s="15" t="s">
        <v>19</v>
      </c>
      <c r="E18" s="16"/>
      <c r="F18" s="16"/>
      <c r="G18" s="10">
        <v>5500</v>
      </c>
      <c r="H18" s="6">
        <f t="shared" ref="H18:H19" si="0">G18*B18*C18</f>
        <v>11000</v>
      </c>
    </row>
    <row r="19" spans="2:8">
      <c r="B19" s="4">
        <v>1</v>
      </c>
      <c r="C19" s="7">
        <v>2</v>
      </c>
      <c r="D19" s="15" t="s">
        <v>20</v>
      </c>
      <c r="E19" s="16"/>
      <c r="F19" s="16"/>
      <c r="G19" s="14">
        <v>3500</v>
      </c>
      <c r="H19" s="6">
        <f t="shared" si="0"/>
        <v>7000</v>
      </c>
    </row>
    <row r="20" spans="2:8">
      <c r="B20" s="4">
        <v>1</v>
      </c>
      <c r="C20" s="7">
        <v>3</v>
      </c>
      <c r="D20" s="15" t="s">
        <v>21</v>
      </c>
      <c r="E20" s="16"/>
      <c r="F20" s="16"/>
      <c r="G20" s="10">
        <v>1400</v>
      </c>
      <c r="H20" s="6">
        <f t="shared" ref="H20:H26" si="1">G20*B20*C20</f>
        <v>4200</v>
      </c>
    </row>
    <row r="21" spans="2:8">
      <c r="B21" s="4">
        <v>1</v>
      </c>
      <c r="C21" s="7">
        <v>3</v>
      </c>
      <c r="D21" s="17" t="s">
        <v>22</v>
      </c>
      <c r="E21" s="18"/>
      <c r="F21" s="19"/>
      <c r="G21" s="14">
        <v>1200</v>
      </c>
      <c r="H21" s="6">
        <f t="shared" si="1"/>
        <v>3600</v>
      </c>
    </row>
    <row r="22" spans="2:8">
      <c r="B22" s="4"/>
      <c r="C22" s="7"/>
      <c r="D22" s="17"/>
      <c r="E22" s="18"/>
      <c r="F22" s="19"/>
      <c r="G22" s="10"/>
      <c r="H22" s="6">
        <f t="shared" si="1"/>
        <v>0</v>
      </c>
    </row>
    <row r="23" spans="2:8">
      <c r="B23" s="4"/>
      <c r="C23" s="7"/>
      <c r="D23" s="17"/>
      <c r="E23" s="18"/>
      <c r="F23" s="19"/>
      <c r="G23" s="10"/>
      <c r="H23" s="6">
        <f t="shared" si="1"/>
        <v>0</v>
      </c>
    </row>
    <row r="24" spans="2:8">
      <c r="B24" s="4"/>
      <c r="C24" s="7"/>
      <c r="D24" s="17"/>
      <c r="E24" s="18"/>
      <c r="F24" s="19"/>
      <c r="G24" s="10"/>
      <c r="H24" s="6">
        <f t="shared" si="1"/>
        <v>0</v>
      </c>
    </row>
    <row r="25" spans="2:8">
      <c r="B25" s="4"/>
      <c r="C25" s="7"/>
      <c r="D25" s="17"/>
      <c r="E25" s="18"/>
      <c r="F25" s="19"/>
      <c r="G25" s="10"/>
      <c r="H25" s="6">
        <f t="shared" si="1"/>
        <v>0</v>
      </c>
    </row>
    <row r="26" spans="2:8">
      <c r="B26" s="4"/>
      <c r="C26" s="7"/>
      <c r="D26" s="17"/>
      <c r="E26" s="18"/>
      <c r="F26" s="19"/>
      <c r="G26" s="10"/>
      <c r="H26" s="6">
        <f t="shared" si="1"/>
        <v>0</v>
      </c>
    </row>
    <row r="27" spans="2:8">
      <c r="D27" s="20"/>
      <c r="E27" s="20"/>
      <c r="F27" s="20"/>
      <c r="G27" s="11" t="s">
        <v>9</v>
      </c>
      <c r="H27" s="12">
        <f>SUM(H17:H26)</f>
        <v>31300</v>
      </c>
    </row>
    <row r="28" spans="2:8">
      <c r="G28" s="11" t="s">
        <v>17</v>
      </c>
      <c r="H28" s="13">
        <f>H27*0.15</f>
        <v>4695</v>
      </c>
    </row>
    <row r="29" spans="2:8">
      <c r="G29" s="11" t="s">
        <v>9</v>
      </c>
      <c r="H29" s="13">
        <f>H28+H27</f>
        <v>35995</v>
      </c>
    </row>
    <row r="36" spans="2:8" ht="31.2" customHeight="1"/>
    <row r="38" spans="2:8" ht="27.6" customHeight="1"/>
    <row r="39" spans="2:8" ht="5.4" customHeight="1">
      <c r="B39" s="5"/>
      <c r="C39" s="5"/>
      <c r="D39" s="5"/>
      <c r="E39" s="5"/>
      <c r="F39" s="5"/>
      <c r="G39" s="5"/>
      <c r="H39" s="5"/>
    </row>
    <row r="41" spans="2:8" ht="25.2" customHeight="1"/>
    <row r="48" spans="2:8" ht="21" customHeight="1"/>
    <row r="50" ht="1.95" customHeight="1"/>
    <row r="51" ht="7.95" customHeight="1"/>
    <row r="52" ht="16.05" customHeight="1"/>
    <row r="54" ht="6" customHeight="1"/>
    <row r="55" ht="9.75" customHeight="1"/>
  </sheetData>
  <mergeCells count="22">
    <mergeCell ref="D15:E15"/>
    <mergeCell ref="D16:F16"/>
    <mergeCell ref="D17:F17"/>
    <mergeCell ref="F15:G15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19:F19"/>
    <mergeCell ref="D26:F26"/>
    <mergeCell ref="D27:F27"/>
    <mergeCell ref="D23:F23"/>
    <mergeCell ref="D22:F22"/>
    <mergeCell ref="D20:F20"/>
    <mergeCell ref="D21:F21"/>
    <mergeCell ref="D25:F25"/>
    <mergeCell ref="D24:F24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2024-10-28T22:27:19Z</cp:lastPrinted>
  <dcterms:created xsi:type="dcterms:W3CDTF">2022-10-19T19:05:00Z</dcterms:created>
  <dcterms:modified xsi:type="dcterms:W3CDTF">2024-10-28T23:26:43Z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