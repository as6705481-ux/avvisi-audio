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DA3C1281-EB30-417C-9428-2D43EA1BD89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18" i="1"/>
  <c r="H19" i="1"/>
  <c r="H20" i="1"/>
  <c r="H21" i="1"/>
  <c r="H22" i="1"/>
  <c r="H23" i="1"/>
  <c r="H24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<sst xmlns="http://schemas.openxmlformats.org/spreadsheetml/2006/main" count="36" uniqueCount="35">
  <si>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</si>
  <si>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</si>
  <si>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</si>
  <si>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</si>
  <si>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</si>
  <si>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</si>
  <si>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</si>
  <si>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</si>
  <si>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</si>
  <si>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</si>
  <si>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</si>
  <si>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</si>
  <si>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</si>
  <si>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</si>
  <si>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</si>
  <si>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</si>
  <si>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</si>
  <si>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</si>
  <si>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SPS</t>
  </si>
  <si>
    <t>Carlos Cruz</t>
  </si>
  <si>
    <t xml:space="preserve">10 dias </t>
  </si>
  <si>
    <t>20 de junio al 29</t>
  </si>
  <si>
    <t xml:space="preserve">Totem led 2 x 1 </t>
  </si>
  <si>
    <t xml:space="preserve">Tarima de 3 x 3 </t>
  </si>
  <si>
    <t xml:space="preserve">Pantalla de 3 x 2 </t>
  </si>
  <si>
    <t xml:space="preserve">Piso de madera </t>
  </si>
  <si>
    <t xml:space="preserve">Sala Longe </t>
  </si>
  <si>
    <t xml:space="preserve">luces led </t>
  </si>
  <si>
    <t xml:space="preserve">Luces Roboticas </t>
  </si>
  <si>
    <t xml:space="preserve">Cuadrante para carpa  5 x 5 </t>
  </si>
  <si>
    <t>Tecun</t>
  </si>
  <si>
    <t>2025-181</t>
  </si>
  <si>
    <t xml:space="preserve">Sillas cocteleras </t>
  </si>
  <si>
    <t>Corporativo</t>
  </si>
  <si>
    <t xml:space="preserve">Un bar con bebidas 4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</si>
</sst>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343" y="6140341"/>
          <a:ext cx="50716" cy="32213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2504"/>
          <a:ext cx="6479284" cy="1285680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2" zoomScale="77" zoomScaleNormal="141" zoomScaleSheetLayoutView="112" zoomScalePageLayoutView="107" workbookViewId="0">
      <selection activeCell="K29" sqref="K2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12</v>
      </c>
      <c r="I6" s="1"/>
    </row>
    <row r="7" spans="2:9">
      <c r="H7" s="16" t="s">
        <v>31</v>
      </c>
    </row>
    <row r="12" spans="2:9" ht="12.6" customHeight="1">
      <c r="B12" s="23" t="s">
        <v>14</v>
      </c>
      <c r="C12" s="23"/>
      <c r="D12" s="25" t="s">
        <v>30</v>
      </c>
      <c r="E12" s="26"/>
      <c r="F12" t="s">
        <v>11</v>
      </c>
      <c r="G12" s="21" t="s">
        <v>19</v>
      </c>
      <c r="H12" s="21"/>
    </row>
    <row r="13" spans="2:9" ht="14.4" customHeight="1">
      <c r="B13" s="23" t="s">
        <v>0</v>
      </c>
      <c r="C13" s="23"/>
      <c r="D13" s="28" t="s">
        <v>18</v>
      </c>
      <c r="E13" s="29"/>
      <c r="F13" s="1" t="s">
        <v>16</v>
      </c>
      <c r="G13" s="27"/>
      <c r="H13" s="27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10</v>
      </c>
      <c r="G14" s="22"/>
      <c r="H14" s="1" t="s">
        <v>13</v>
      </c>
    </row>
    <row r="15" spans="2:9">
      <c r="B15" s="2">
        <v>45814</v>
      </c>
      <c r="C15" s="1" t="s">
        <v>20</v>
      </c>
      <c r="D15" s="17" t="s">
        <v>21</v>
      </c>
      <c r="E15" s="18"/>
      <c r="F15" s="20" t="s">
        <v>33</v>
      </c>
      <c r="G15" s="21"/>
      <c r="H15" s="7" t="s">
        <v>17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4" t="s">
        <v>7</v>
      </c>
    </row>
    <row r="17" spans="2:8">
      <c r="B17" s="4">
        <v>1</v>
      </c>
      <c r="C17" s="6">
        <v>10</v>
      </c>
      <c r="D17" s="34" t="s">
        <v>23</v>
      </c>
      <c r="E17" s="35"/>
      <c r="F17" s="35"/>
      <c r="G17" s="13">
        <v>2500</v>
      </c>
      <c r="H17" s="15">
        <f t="shared" ref="H17:H28" si="0">B17*G17*C17</f>
        <v>25000</v>
      </c>
    </row>
    <row r="18" spans="2:8">
      <c r="B18" s="6">
        <v>1</v>
      </c>
      <c r="C18" s="6">
        <v>10</v>
      </c>
      <c r="D18" s="34" t="s">
        <v>24</v>
      </c>
      <c r="E18" s="35"/>
      <c r="F18" s="35"/>
      <c r="G18" s="13">
        <v>6500</v>
      </c>
      <c r="H18" s="15">
        <f t="shared" si="0"/>
        <v>65000</v>
      </c>
    </row>
    <row r="19" spans="2:8">
      <c r="B19" s="4">
        <v>2</v>
      </c>
      <c r="C19" s="6">
        <v>10</v>
      </c>
      <c r="D19" s="30" t="s">
        <v>22</v>
      </c>
      <c r="E19" s="31"/>
      <c r="F19" s="32"/>
      <c r="G19" s="13">
        <v>3500</v>
      </c>
      <c r="H19" s="15">
        <f t="shared" si="0"/>
        <v>70000</v>
      </c>
    </row>
    <row r="20" spans="2:8">
      <c r="B20" s="4">
        <v>1</v>
      </c>
      <c r="C20" s="6">
        <v>1</v>
      </c>
      <c r="D20" s="30" t="s">
        <v>25</v>
      </c>
      <c r="E20" s="31"/>
      <c r="F20" s="32"/>
      <c r="G20" s="13">
        <v>7000</v>
      </c>
      <c r="H20" s="15">
        <f t="shared" si="0"/>
        <v>7000</v>
      </c>
    </row>
    <row r="21" spans="2:8">
      <c r="B21" s="4">
        <v>4</v>
      </c>
      <c r="C21" s="6">
        <v>10</v>
      </c>
      <c r="D21" s="30" t="s">
        <v>32</v>
      </c>
      <c r="E21" s="31"/>
      <c r="F21" s="32"/>
      <c r="G21" s="13">
        <v>150</v>
      </c>
      <c r="H21" s="15">
        <f t="shared" si="0"/>
        <v>6000</v>
      </c>
    </row>
    <row r="22" spans="2:8">
      <c r="B22" s="4">
        <v>1</v>
      </c>
      <c r="C22" s="6">
        <v>10</v>
      </c>
      <c r="D22" s="30" t="s">
        <v>26</v>
      </c>
      <c r="E22" s="31"/>
      <c r="F22" s="32"/>
      <c r="G22" s="9">
        <v>2000</v>
      </c>
      <c r="H22" s="15">
        <f t="shared" si="0"/>
        <v>20000</v>
      </c>
    </row>
    <row r="23" spans="2:8">
      <c r="B23" s="4">
        <v>1</v>
      </c>
      <c r="C23" s="6">
        <v>6</v>
      </c>
      <c r="D23" s="30" t="s">
        <v>34</v>
      </c>
      <c r="E23" s="31"/>
      <c r="F23" s="32"/>
      <c r="G23" s="9">
        <v>2000</v>
      </c>
      <c r="H23" s="15">
        <f t="shared" si="0"/>
        <v>12000</v>
      </c>
    </row>
    <row r="24" spans="2:8">
      <c r="B24" s="4">
        <v>4</v>
      </c>
      <c r="C24" s="6">
        <v>10</v>
      </c>
      <c r="D24" s="30" t="s">
        <v>27</v>
      </c>
      <c r="E24" s="31"/>
      <c r="F24" s="32"/>
      <c r="G24" s="9">
        <v>150</v>
      </c>
      <c r="H24" s="15">
        <f t="shared" si="0"/>
        <v>6000</v>
      </c>
    </row>
    <row r="25" spans="2:8">
      <c r="B25" s="4">
        <v>2</v>
      </c>
      <c r="C25" s="6">
        <v>10</v>
      </c>
      <c r="D25" s="30" t="s">
        <v>28</v>
      </c>
      <c r="E25" s="31"/>
      <c r="F25" s="32"/>
      <c r="G25" s="9">
        <v>600</v>
      </c>
      <c r="H25" s="15">
        <f t="shared" si="0"/>
        <v>12000</v>
      </c>
    </row>
    <row r="26" spans="2:8">
      <c r="B26" s="4">
        <v>1</v>
      </c>
      <c r="C26" s="6">
        <v>10</v>
      </c>
      <c r="D26" s="30" t="s">
        <v>29</v>
      </c>
      <c r="E26" s="31"/>
      <c r="F26" s="32"/>
      <c r="G26" s="9">
        <v>3000</v>
      </c>
      <c r="H26" s="15">
        <f t="shared" si="0"/>
        <v>30000</v>
      </c>
    </row>
    <row r="27" spans="2:8">
      <c r="B27" s="4"/>
      <c r="C27" s="6"/>
      <c r="D27" s="30"/>
      <c r="E27" s="31"/>
      <c r="F27" s="32"/>
      <c r="G27" s="9"/>
      <c r="H27" s="15">
        <f t="shared" si="0"/>
        <v>0</v>
      </c>
    </row>
    <row r="28" spans="2:8">
      <c r="B28" s="4"/>
      <c r="C28" s="6"/>
      <c r="D28" s="30"/>
      <c r="E28" s="31"/>
      <c r="F28" s="32"/>
      <c r="G28" s="9"/>
      <c r="H28" s="15">
        <f t="shared" si="0"/>
        <v>0</v>
      </c>
    </row>
    <row r="29" spans="2:8">
      <c r="D29" s="33"/>
      <c r="E29" s="33"/>
      <c r="F29" s="33"/>
      <c r="G29" s="10" t="s">
        <v>9</v>
      </c>
      <c r="H29" s="11">
        <f>SUM(H17:H28)</f>
        <v>253000</v>
      </c>
    </row>
    <row r="30" spans="2:8">
      <c r="G30" s="10" t="s">
        <v>15</v>
      </c>
      <c r="H30" s="12">
        <f>H29*0.15</f>
        <v>37950</v>
      </c>
    </row>
    <row r="31" spans="2:8">
      <c r="G31" s="10" t="s">
        <v>9</v>
      </c>
      <c r="H31" s="12">
        <f>H30+H29</f>
        <v>290950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28:F28"/>
    <mergeCell ref="D29:F29"/>
    <mergeCell ref="D19:F19"/>
    <mergeCell ref="D18:F18"/>
    <mergeCell ref="D17:F17"/>
    <mergeCell ref="D24:F24"/>
    <mergeCell ref="D21:F21"/>
    <mergeCell ref="D20:F20"/>
    <mergeCell ref="D23:F23"/>
    <mergeCell ref="D22:F22"/>
    <mergeCell ref="D25:F25"/>
    <mergeCell ref="D26:F26"/>
    <mergeCell ref="D27:F27"/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2025-06-09T16:37:45Z</cp:lastPrinted>
  <dcterms:created xsi:type="dcterms:W3CDTF">2022-10-19T19:05:00Z</dcterms:created>
  <dcterms:modified xsi:type="dcterms:W3CDTF">2025-06-09T16:37:56Z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