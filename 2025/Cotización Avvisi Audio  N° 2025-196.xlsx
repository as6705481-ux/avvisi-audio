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2303FF6B-82E5-4C0C-96E1-B776E054C410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3" i="1"/>
  <c r="H24" i="1" l="1"/>
  <c r="H25" i="1" l="1"/>
  <c r="H26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<sst xmlns="http://schemas.openxmlformats.org/spreadsheetml/2006/main" count="27" uniqueCount="26">
  <si>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</si>
  <si>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</si>
  <si>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</si>
  <si>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</si>
  <si>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</si>
  <si>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</si>
  <si>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</si>
  <si>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</si>
  <si>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</si>
  <si>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</si>
  <si>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</si>
  <si>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</si>
  <si>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</si>
  <si>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</si>
  <si>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</si>
  <si>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</si>
  <si>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Tegucigalpa </t>
  </si>
  <si>
    <t>RTN</t>
  </si>
  <si>
    <t xml:space="preserve">Evento BTL </t>
  </si>
  <si>
    <t xml:space="preserve">1 dia </t>
  </si>
  <si>
    <t>Audio profesional con Microfonos Inalambricos</t>
  </si>
  <si>
    <t>Allan Corea</t>
  </si>
  <si>
    <t xml:space="preserve">Edecan </t>
  </si>
  <si>
    <t>Animador</t>
  </si>
  <si>
    <t>2025-196</t>
  </si>
  <si>
    <t>Pantalla de 55"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</si>
</sst>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>
      <alignment horizontal="center"/>
    </xf>
    <xf numFmtId="164" fontId="8" fillId="3" borderId="5" xfId="2" applyNumberFormat="1" applyBorder="1" applyAlignment="1"/>
    <xf numFmtId="164" fontId="0" fillId="3" borderId="5" xfId="2" applyNumberFormat="1" applyFon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8" fillId="3" borderId="3" xfId="2" applyNumberForma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792" y="5327390"/>
          <a:ext cx="50716" cy="32801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443"/>
          <a:ext cx="6693471" cy="130625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23</xdr:row>
      <xdr:rowOff>35608</xdr:rowOff>
    </xdr:from>
    <xdr:to>
      <xdr:col>7</xdr:col>
      <xdr:colOff>1001484</xdr:colOff>
      <xdr:row>33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32</xdr:row>
      <xdr:rowOff>601411</xdr:rowOff>
    </xdr:from>
    <xdr:to>
      <xdr:col>4</xdr:col>
      <xdr:colOff>168596</xdr:colOff>
      <xdr:row>34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32</xdr:row>
      <xdr:rowOff>612567</xdr:rowOff>
    </xdr:from>
    <xdr:to>
      <xdr:col>7</xdr:col>
      <xdr:colOff>991200</xdr:colOff>
      <xdr:row>36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29</xdr:row>
      <xdr:rowOff>149553</xdr:rowOff>
    </xdr:from>
    <xdr:to>
      <xdr:col>4</xdr:col>
      <xdr:colOff>1032164</xdr:colOff>
      <xdr:row>36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5" zoomScale="101" zoomScaleNormal="110" zoomScaleSheetLayoutView="112" zoomScalePageLayoutView="101" workbookViewId="0">
      <selection activeCell="D16" sqref="D16:F1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9" t="s">
        <v>24</v>
      </c>
    </row>
    <row r="12" spans="2:9" ht="12.6" customHeight="1">
      <c r="B12" s="25" t="s">
        <v>14</v>
      </c>
      <c r="C12" s="25"/>
      <c r="D12" s="27"/>
      <c r="E12" s="28"/>
      <c r="F12" t="s">
        <v>11</v>
      </c>
      <c r="G12" s="29" t="s">
        <v>21</v>
      </c>
      <c r="H12" s="29"/>
    </row>
    <row r="13" spans="2:9" ht="14.4" customHeight="1">
      <c r="B13" s="25" t="s">
        <v>0</v>
      </c>
      <c r="C13" s="25"/>
      <c r="D13" s="31" t="s">
        <v>16</v>
      </c>
      <c r="E13" s="32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45839</v>
      </c>
      <c r="C15" s="1" t="s">
        <v>19</v>
      </c>
      <c r="D15" s="33"/>
      <c r="E15" s="34"/>
      <c r="F15" s="36" t="s">
        <v>18</v>
      </c>
      <c r="G15" s="29"/>
      <c r="H15" s="7"/>
    </row>
    <row r="16" spans="2:9" ht="15.6">
      <c r="B16" s="3" t="s">
        <v>4</v>
      </c>
      <c r="C16" s="3" t="s">
        <v>8</v>
      </c>
      <c r="D16" s="35" t="s">
        <v>5</v>
      </c>
      <c r="E16" s="35"/>
      <c r="F16" s="35"/>
      <c r="G16" s="3" t="s">
        <v>6</v>
      </c>
      <c r="H16" s="16" t="s">
        <v>7</v>
      </c>
    </row>
    <row r="17" spans="2:8">
      <c r="B17" s="4">
        <v>1</v>
      </c>
      <c r="C17" s="4">
        <v>6</v>
      </c>
      <c r="D17" s="37" t="s">
        <v>20</v>
      </c>
      <c r="E17" s="38"/>
      <c r="F17" s="38"/>
      <c r="G17" s="13">
        <v>1500</v>
      </c>
      <c r="H17" s="17">
        <f>B17*G17*C17</f>
        <v>9000</v>
      </c>
    </row>
    <row r="18" spans="2:8">
      <c r="B18" s="4">
        <v>1</v>
      </c>
      <c r="C18" s="6">
        <v>6</v>
      </c>
      <c r="D18" s="18" t="s">
        <v>22</v>
      </c>
      <c r="E18" s="19"/>
      <c r="F18" s="19"/>
      <c r="G18" s="15">
        <v>1500</v>
      </c>
      <c r="H18" s="17">
        <f t="shared" ref="H18:H23" si="0">B18*G18*C18</f>
        <v>9000</v>
      </c>
    </row>
    <row r="19" spans="2:8">
      <c r="B19" s="4">
        <v>1</v>
      </c>
      <c r="C19" s="6">
        <v>6</v>
      </c>
      <c r="D19" s="18" t="s">
        <v>23</v>
      </c>
      <c r="E19" s="19"/>
      <c r="F19" s="19"/>
      <c r="G19" s="14">
        <v>1250</v>
      </c>
      <c r="H19" s="17">
        <f t="shared" si="0"/>
        <v>7500</v>
      </c>
    </row>
    <row r="20" spans="2:8">
      <c r="B20" s="4">
        <v>1</v>
      </c>
      <c r="C20" s="6">
        <v>6</v>
      </c>
      <c r="D20" s="18" t="s">
        <v>25</v>
      </c>
      <c r="E20" s="19"/>
      <c r="F20" s="19"/>
      <c r="G20" s="14">
        <v>1500</v>
      </c>
      <c r="H20" s="17">
        <f t="shared" si="0"/>
        <v>9000</v>
      </c>
    </row>
    <row r="21" spans="2:8">
      <c r="B21" s="4"/>
      <c r="C21" s="6"/>
      <c r="D21" s="20"/>
      <c r="E21" s="21"/>
      <c r="F21" s="22"/>
      <c r="G21" s="9"/>
      <c r="H21" s="17"/>
    </row>
    <row r="22" spans="2:8">
      <c r="B22" s="4"/>
      <c r="C22" s="6"/>
      <c r="D22" s="20"/>
      <c r="E22" s="21"/>
      <c r="F22" s="22"/>
      <c r="G22" s="9"/>
      <c r="H22" s="17"/>
    </row>
    <row r="23" spans="2:8">
      <c r="B23" s="4"/>
      <c r="C23" s="6"/>
      <c r="D23" s="20"/>
      <c r="E23" s="21"/>
      <c r="F23" s="22"/>
      <c r="G23" s="9"/>
      <c r="H23" s="17">
        <f t="shared" si="0"/>
        <v>0</v>
      </c>
    </row>
    <row r="24" spans="2:8">
      <c r="D24" s="23"/>
      <c r="E24" s="23"/>
      <c r="F24" s="23"/>
      <c r="G24" s="10" t="s">
        <v>9</v>
      </c>
      <c r="H24" s="11">
        <f>SUM(H17:H23)</f>
        <v>34500</v>
      </c>
    </row>
    <row r="25" spans="2:8">
      <c r="G25" s="10" t="s">
        <v>15</v>
      </c>
      <c r="H25" s="12">
        <f>H24*0.15</f>
        <v>5175</v>
      </c>
    </row>
    <row r="26" spans="2:8">
      <c r="G26" s="10" t="s">
        <v>9</v>
      </c>
      <c r="H26" s="12">
        <f>H25+H24</f>
        <v>39675</v>
      </c>
    </row>
    <row r="33" spans="2:8" ht="62.4" customHeight="1"/>
    <row r="35" spans="2:8" ht="27.6" customHeight="1"/>
    <row r="36" spans="2:8" ht="5.4" customHeight="1">
      <c r="B36" s="5"/>
      <c r="C36" s="5"/>
      <c r="D36" s="5"/>
      <c r="E36" s="5"/>
      <c r="F36" s="5"/>
      <c r="G36" s="5"/>
      <c r="H36" s="5"/>
    </row>
    <row r="38" spans="2:8" ht="25.2" customHeight="1"/>
    <row r="45" spans="2:8" ht="21" customHeight="1"/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20">
    <mergeCell ref="D15:E15"/>
    <mergeCell ref="D16:F16"/>
    <mergeCell ref="F15:G15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8:F18"/>
    <mergeCell ref="D23:F23"/>
    <mergeCell ref="D24:F24"/>
    <mergeCell ref="D19:F19"/>
    <mergeCell ref="D20:F20"/>
    <mergeCell ref="D22:F22"/>
    <mergeCell ref="D21:F21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2025-07-01T17:50:29Z</cp:lastPrinted>
  <dcterms:created xsi:type="dcterms:W3CDTF">2022-10-19T19:05:00Z</dcterms:created>
  <dcterms:modified xsi:type="dcterms:W3CDTF">2025-07-01T19:31:44Z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