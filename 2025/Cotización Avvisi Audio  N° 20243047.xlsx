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CB52C270-63CB-464E-85F3-467CB999782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9" i="1"/>
  <c r="H20" i="1"/>
  <c r="H21" i="1"/>
  <c r="H22" i="1" l="1"/>
  <c r="H23" i="1" l="1"/>
  <c r="H24" i="1" s="1"/>
</calcChain>
</file>

<file path=xl/sharedStrings.xml><?xml version="1.0" encoding="utf-8"?>
<sst xmlns="http://schemas.openxmlformats.org/spreadsheetml/2006/main" count="23" uniqueCount="23">
  <si>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</si>
  <si>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</si>
  <si>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</si>
  <si>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</si>
  <si>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</si>
  <si>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</si>
  <si>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</si>
  <si>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</si>
  <si>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</si>
  <si>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</si>
  <si>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</si>
  <si>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</si>
  <si>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</si>
  <si>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</si>
  <si>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ISV 15% </t>
  </si>
  <si>
    <t xml:space="preserve">Total </t>
  </si>
  <si>
    <t xml:space="preserve">N° Invitados </t>
  </si>
  <si>
    <t>2024-3048</t>
  </si>
  <si>
    <t>Eufemio Martinez</t>
  </si>
  <si>
    <t xml:space="preserve">23 de Agosto </t>
  </si>
  <si>
    <t>Arco Led</t>
  </si>
  <si>
    <t>Tegucigalpa</t>
  </si>
  <si>
    <t xml:space="preserve">Tarima sticker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</si>
</sst>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164" fontId="9" fillId="3" borderId="3" xfId="3" applyNumberFormat="1" applyBorder="1" applyAlignment="1">
      <alignment vertic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1" fillId="0" borderId="8" xfId="0" applyFont="1" applyBorder="1" applyAlignment="1">
      <alignment horizontal="center"/>
    </xf>
    <xf numFmtId="0" fontId="1" fillId="3" borderId="3" xfId="3" applyFont="1" applyBorder="1" applyAlignment="1">
      <alignment horizontal="left"/>
    </xf>
    <xf numFmtId="17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1" fillId="3" borderId="3" xfId="3" applyNumberFormat="1" applyFont="1" applyBorder="1" applyAlignment="1">
      <alignment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29</xdr:row>
      <xdr:rowOff>83925</xdr:rowOff>
    </xdr:from>
    <xdr:to>
      <xdr:col>1</xdr:col>
      <xdr:colOff>113617</xdr:colOff>
      <xdr:row>31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0364" y="5479876"/>
          <a:ext cx="50716" cy="33758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228"/>
          <a:ext cx="6771983" cy="13397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111899</xdr:colOff>
      <xdr:row>21</xdr:row>
      <xdr:rowOff>13608</xdr:rowOff>
    </xdr:from>
    <xdr:to>
      <xdr:col>7</xdr:col>
      <xdr:colOff>1053699</xdr:colOff>
      <xdr:row>32</xdr:row>
      <xdr:rowOff>18405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1899" y="3680733"/>
          <a:ext cx="6738443" cy="2025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32</xdr:row>
      <xdr:rowOff>371475</xdr:rowOff>
    </xdr:from>
    <xdr:to>
      <xdr:col>4</xdr:col>
      <xdr:colOff>138248</xdr:colOff>
      <xdr:row>38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32</xdr:row>
      <xdr:rowOff>389164</xdr:rowOff>
    </xdr:from>
    <xdr:to>
      <xdr:col>7</xdr:col>
      <xdr:colOff>914037</xdr:colOff>
      <xdr:row>35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30</xdr:row>
      <xdr:rowOff>31476</xdr:rowOff>
    </xdr:from>
    <xdr:to>
      <xdr:col>4</xdr:col>
      <xdr:colOff>347602</xdr:colOff>
      <xdr:row>36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BreakPreview" zoomScale="123" zoomScaleNormal="100" zoomScaleSheetLayoutView="112" zoomScalePageLayoutView="34" workbookViewId="0">
      <selection activeCell="G19" sqref="G19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13" t="s">
        <v>13</v>
      </c>
      <c r="I6" s="1"/>
    </row>
    <row r="7" spans="2:9">
      <c r="H7" s="32" t="s">
        <v>17</v>
      </c>
    </row>
    <row r="12" spans="2:9" ht="12.6" customHeight="1">
      <c r="B12" s="27" t="s">
        <v>0</v>
      </c>
      <c r="C12" s="27"/>
      <c r="D12" s="35"/>
      <c r="E12" s="28"/>
      <c r="F12" t="s">
        <v>12</v>
      </c>
      <c r="G12" s="20" t="s">
        <v>18</v>
      </c>
      <c r="H12" s="20"/>
    </row>
    <row r="13" spans="2:9" ht="14.4" customHeight="1">
      <c r="B13" s="27" t="s">
        <v>1</v>
      </c>
      <c r="C13" s="27"/>
      <c r="D13" s="35" t="s">
        <v>21</v>
      </c>
      <c r="E13" s="28"/>
      <c r="F13" s="28"/>
      <c r="G13" s="28"/>
    </row>
    <row r="14" spans="2:9">
      <c r="B14" s="1" t="s">
        <v>2</v>
      </c>
      <c r="C14" s="1" t="s">
        <v>3</v>
      </c>
      <c r="D14" s="29" t="s">
        <v>4</v>
      </c>
      <c r="E14" s="29"/>
      <c r="F14" s="29" t="s">
        <v>11</v>
      </c>
      <c r="G14" s="29"/>
      <c r="H14" s="1" t="s">
        <v>16</v>
      </c>
    </row>
    <row r="15" spans="2:9">
      <c r="B15" s="2">
        <v>45530</v>
      </c>
      <c r="C15" s="1"/>
      <c r="D15" s="34" t="s">
        <v>19</v>
      </c>
      <c r="E15" s="29"/>
      <c r="F15" s="19"/>
      <c r="G15" s="20"/>
      <c r="H15" s="12"/>
    </row>
    <row r="16" spans="2:9" ht="15.6">
      <c r="B16" s="3" t="s">
        <v>5</v>
      </c>
      <c r="C16" s="3" t="s">
        <v>9</v>
      </c>
      <c r="D16" s="16" t="s">
        <v>6</v>
      </c>
      <c r="E16" s="16"/>
      <c r="F16" s="16"/>
      <c r="G16" s="3" t="s">
        <v>7</v>
      </c>
      <c r="H16" s="3" t="s">
        <v>8</v>
      </c>
    </row>
    <row r="17" spans="2:8" ht="16.2">
      <c r="B17" s="4">
        <v>1</v>
      </c>
      <c r="C17" s="4">
        <v>1</v>
      </c>
      <c r="D17" s="17" t="s">
        <v>20</v>
      </c>
      <c r="E17" s="18"/>
      <c r="F17" s="18"/>
      <c r="G17" s="5">
        <v>7500</v>
      </c>
      <c r="H17" s="36">
        <f>G17*B17*C17</f>
        <v>7500</v>
      </c>
    </row>
    <row r="18" spans="2:8">
      <c r="B18" s="4">
        <v>1</v>
      </c>
      <c r="C18" s="8">
        <v>1</v>
      </c>
      <c r="D18" s="33" t="s">
        <v>22</v>
      </c>
      <c r="E18" s="18"/>
      <c r="F18" s="18"/>
      <c r="G18" s="14">
        <v>3600</v>
      </c>
      <c r="H18" s="15">
        <f>G18*B18*C18</f>
        <v>3600</v>
      </c>
    </row>
    <row r="19" spans="2:8">
      <c r="B19" s="4"/>
      <c r="C19" s="8"/>
      <c r="D19" s="23"/>
      <c r="E19" s="24"/>
      <c r="F19" s="25"/>
      <c r="G19" s="5"/>
      <c r="H19" s="15">
        <f>G19</f>
        <v>0</v>
      </c>
    </row>
    <row r="20" spans="2:8">
      <c r="B20" s="4"/>
      <c r="C20" s="8"/>
      <c r="D20" s="23"/>
      <c r="E20" s="24"/>
      <c r="F20" s="25"/>
      <c r="G20" s="5"/>
      <c r="H20" s="15">
        <f t="shared" ref="H20:H21" si="0">G20</f>
        <v>0</v>
      </c>
    </row>
    <row r="21" spans="2:8">
      <c r="B21" s="4"/>
      <c r="C21" s="8"/>
      <c r="D21" s="30"/>
      <c r="E21" s="31"/>
      <c r="F21" s="31"/>
      <c r="G21" s="5"/>
      <c r="H21" s="15">
        <f t="shared" si="0"/>
        <v>0</v>
      </c>
    </row>
    <row r="22" spans="2:8">
      <c r="D22" s="21"/>
      <c r="E22" s="21"/>
      <c r="F22" s="21"/>
      <c r="G22" s="9" t="s">
        <v>10</v>
      </c>
      <c r="H22" s="6">
        <f>SUM(H17:H21)</f>
        <v>11100</v>
      </c>
    </row>
    <row r="23" spans="2:8">
      <c r="D23" s="22"/>
      <c r="E23" s="22"/>
      <c r="F23" s="22"/>
      <c r="G23" s="9" t="s">
        <v>14</v>
      </c>
      <c r="H23" s="10">
        <f>H22*0.15</f>
        <v>1665</v>
      </c>
    </row>
    <row r="24" spans="2:8">
      <c r="D24" s="22"/>
      <c r="E24" s="22"/>
      <c r="F24" s="22"/>
      <c r="G24" s="9" t="s">
        <v>15</v>
      </c>
      <c r="H24" s="11">
        <f>H22+H23</f>
        <v>12765</v>
      </c>
    </row>
    <row r="33" spans="2:8" ht="52.2" customHeight="1"/>
    <row r="36" spans="2:8">
      <c r="B36" s="7"/>
      <c r="C36" s="7"/>
      <c r="D36" s="7"/>
      <c r="E36" s="7"/>
      <c r="F36" s="7"/>
      <c r="G36" s="7"/>
      <c r="H36" s="7"/>
    </row>
    <row r="42" spans="2:8" ht="27.6" customHeight="1"/>
    <row r="43" spans="2:8" ht="5.4" customHeight="1"/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19"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8:F18"/>
    <mergeCell ref="D19:F19"/>
    <mergeCell ref="D21:F21"/>
    <mergeCell ref="D15:E15"/>
    <mergeCell ref="D16:F16"/>
    <mergeCell ref="D17:F17"/>
    <mergeCell ref="F15:G15"/>
    <mergeCell ref="D22:F22"/>
    <mergeCell ref="D23:F23"/>
    <mergeCell ref="D20:F20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2024-08-22T17:07:31Z</cp:lastPrinted>
  <dcterms:created xsi:type="dcterms:W3CDTF">2022-10-19T19:05:00Z</dcterms:created>
  <dcterms:modified xsi:type="dcterms:W3CDTF">2024-08-23T23:22:54Z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