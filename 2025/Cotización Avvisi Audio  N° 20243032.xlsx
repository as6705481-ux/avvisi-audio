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BA0ACAAF-73F7-44B9-BF15-10D38F2DDFC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34" i="1" l="1"/>
  <c r="H35" i="1" s="1"/>
  <c r="H36" i="1" s="1"/>
</calcChain>
</file>

<file path=xl/sharedStrings.xml><?xml version="1.0" encoding="utf-8"?>
<sst xmlns="http://schemas.openxmlformats.org/spreadsheetml/2006/main" count="27" uniqueCount="27">
  <si>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</si>
  <si>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</si>
  <si>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</si>
  <si>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</si>
  <si>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</si>
  <si>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</si>
  <si>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</si>
  <si>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</si>
  <si>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</si>
  <si>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</si>
  <si>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</si>
  <si>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</si>
  <si>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</si>
  <si>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</si>
  <si>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</si>
  <si>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</si>
  <si>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</si>
  <si>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</si>
  <si>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>Cromos</t>
  </si>
  <si>
    <t>Totem led de 0.50 x 2 metrros P 3.91 en truss</t>
  </si>
  <si>
    <t xml:space="preserve">Procesador de video </t>
  </si>
  <si>
    <t xml:space="preserve">Personal de apoyo </t>
  </si>
  <si>
    <t xml:space="preserve">Transporte , montaje y desmontaje </t>
  </si>
  <si>
    <t xml:space="preserve">Evento de Marca </t>
  </si>
  <si>
    <t xml:space="preserve">25 de Julio </t>
  </si>
  <si>
    <t xml:space="preserve">Tegucigalpa / Hotel Clarion </t>
  </si>
  <si>
    <t>2024-3032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</si>
</sst>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5" applyNumberFormat="0" applyAlignment="0" applyProtection="0"/>
    <xf numFmtId="0" fontId="7" fillId="5" borderId="0" applyNumberFormat="0" applyBorder="0" applyAlignment="0" applyProtection="0"/>
    <xf numFmtId="0" fontId="8" fillId="3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8" fillId="3" borderId="3" xfId="3" applyBorder="1" applyAlignment="1">
      <alignment horizontal="center"/>
    </xf>
    <xf numFmtId="164" fontId="8" fillId="3" borderId="3" xfId="3" applyNumberFormat="1" applyBorder="1"/>
    <xf numFmtId="164" fontId="6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8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2" fillId="3" borderId="6" xfId="3" applyFont="1" applyBorder="1" applyAlignment="1">
      <alignment horizontal="left" vertical="center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8" fillId="3" borderId="3" xfId="3" applyBorder="1" applyAlignment="1">
      <alignment horizontal="left"/>
    </xf>
    <xf numFmtId="0" fontId="2" fillId="3" borderId="6" xfId="3" applyFont="1" applyBorder="1" applyAlignment="1">
      <alignment horizontal="left"/>
    </xf>
    <xf numFmtId="0" fontId="2" fillId="3" borderId="7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8" fillId="3" borderId="3" xfId="3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2" fillId="3" borderId="3" xfId="3" applyFont="1" applyBorder="1" applyAlignment="1">
      <alignment horizontal="left"/>
    </xf>
    <xf numFmtId="0" fontId="2" fillId="3" borderId="7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164" fontId="0" fillId="3" borderId="3" xfId="3" applyNumberFormat="1" applyFont="1" applyBorder="1"/>
    <xf numFmtId="0" fontId="1" fillId="3" borderId="6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068" y="7460508"/>
          <a:ext cx="50716" cy="32571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291"/>
          <a:ext cx="6682154" cy="1298187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33</xdr:row>
      <xdr:rowOff>65852</xdr:rowOff>
    </xdr:from>
    <xdr:to>
      <xdr:col>7</xdr:col>
      <xdr:colOff>1091259</xdr:colOff>
      <xdr:row>44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964296"/>
          <a:ext cx="6810963" cy="191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view="pageLayout" topLeftCell="A3" zoomScale="72" zoomScaleNormal="100" zoomScaleSheetLayoutView="112" zoomScalePageLayoutView="72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8"/>
      <c r="C1" s="28"/>
      <c r="D1" s="28"/>
      <c r="E1" s="28"/>
      <c r="F1" s="28"/>
      <c r="G1" s="28"/>
      <c r="H1" s="28"/>
    </row>
    <row r="6" spans="2:9">
      <c r="H6" s="14" t="s">
        <v>13</v>
      </c>
      <c r="I6" s="1"/>
    </row>
    <row r="7" spans="2:9">
      <c r="H7" s="45" t="s">
        <v>26</v>
      </c>
    </row>
    <row r="12" spans="2:9" ht="12.6" customHeight="1">
      <c r="B12" s="29" t="s">
        <v>0</v>
      </c>
      <c r="C12" s="29"/>
      <c r="D12" s="38" t="s">
        <v>18</v>
      </c>
      <c r="E12" s="30"/>
      <c r="F12" t="s">
        <v>12</v>
      </c>
      <c r="G12" s="27" t="s">
        <v>14</v>
      </c>
      <c r="H12" s="27"/>
    </row>
    <row r="13" spans="2:9" ht="14.4" customHeight="1">
      <c r="B13" s="29" t="s">
        <v>1</v>
      </c>
      <c r="C13" s="29"/>
      <c r="D13" s="38" t="s">
        <v>25</v>
      </c>
      <c r="E13" s="30"/>
      <c r="F13" s="30"/>
      <c r="G13" s="30"/>
    </row>
    <row r="14" spans="2:9">
      <c r="B14" s="1" t="s">
        <v>2</v>
      </c>
      <c r="C14" s="1" t="s">
        <v>3</v>
      </c>
      <c r="D14" s="24" t="s">
        <v>4</v>
      </c>
      <c r="E14" s="24"/>
      <c r="F14" s="24" t="s">
        <v>11</v>
      </c>
      <c r="G14" s="24"/>
      <c r="H14" s="1" t="s">
        <v>17</v>
      </c>
    </row>
    <row r="15" spans="2:9">
      <c r="B15" s="2">
        <v>45493</v>
      </c>
      <c r="C15" s="1"/>
      <c r="D15" s="44" t="s">
        <v>24</v>
      </c>
      <c r="E15" s="24"/>
      <c r="F15" s="43" t="s">
        <v>23</v>
      </c>
      <c r="G15" s="27"/>
      <c r="H15" s="13"/>
    </row>
    <row r="16" spans="2:9" ht="15.6">
      <c r="B16" s="3" t="s">
        <v>5</v>
      </c>
      <c r="C16" s="3" t="s">
        <v>9</v>
      </c>
      <c r="D16" s="25" t="s">
        <v>6</v>
      </c>
      <c r="E16" s="25"/>
      <c r="F16" s="25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26" t="s">
        <v>19</v>
      </c>
      <c r="E17" s="18"/>
      <c r="F17" s="18"/>
      <c r="G17" s="5">
        <v>1700</v>
      </c>
      <c r="H17" s="8">
        <f>C17*G17*B17</f>
        <v>3400</v>
      </c>
    </row>
    <row r="18" spans="2:8">
      <c r="B18" s="4">
        <v>1</v>
      </c>
      <c r="C18" s="9">
        <v>1</v>
      </c>
      <c r="D18" s="39" t="s">
        <v>20</v>
      </c>
      <c r="E18" s="18"/>
      <c r="F18" s="18"/>
      <c r="G18" s="40">
        <v>0</v>
      </c>
      <c r="H18" s="8">
        <f t="shared" ref="H18" si="0">C18*G18</f>
        <v>0</v>
      </c>
    </row>
    <row r="19" spans="2:8">
      <c r="B19" s="4">
        <v>1</v>
      </c>
      <c r="C19" s="9">
        <v>1</v>
      </c>
      <c r="D19" s="41" t="s">
        <v>21</v>
      </c>
      <c r="E19" s="20"/>
      <c r="F19" s="21"/>
      <c r="G19" s="5">
        <v>0</v>
      </c>
      <c r="H19" s="8">
        <v>0</v>
      </c>
    </row>
    <row r="20" spans="2:8">
      <c r="B20" s="4">
        <v>1</v>
      </c>
      <c r="C20" s="9">
        <v>1</v>
      </c>
      <c r="D20" s="42" t="s">
        <v>22</v>
      </c>
      <c r="E20" s="23"/>
      <c r="F20" s="23"/>
      <c r="G20" s="5">
        <v>0</v>
      </c>
      <c r="H20" s="8">
        <v>0</v>
      </c>
    </row>
    <row r="21" spans="2:8">
      <c r="B21" s="4"/>
      <c r="C21" s="9"/>
      <c r="D21" s="22"/>
      <c r="E21" s="23"/>
      <c r="F21" s="23"/>
      <c r="G21" s="5"/>
      <c r="H21" s="8"/>
    </row>
    <row r="22" spans="2:8">
      <c r="B22" s="4"/>
      <c r="C22" s="9"/>
      <c r="D22" s="22"/>
      <c r="E22" s="23"/>
      <c r="F22" s="23"/>
      <c r="G22" s="5"/>
      <c r="H22" s="8"/>
    </row>
    <row r="23" spans="2:8">
      <c r="B23" s="4"/>
      <c r="C23" s="9"/>
      <c r="D23" s="22"/>
      <c r="E23" s="23"/>
      <c r="F23" s="23"/>
      <c r="G23" s="5"/>
      <c r="H23" s="8"/>
    </row>
    <row r="24" spans="2:8">
      <c r="B24" s="4"/>
      <c r="C24" s="9"/>
      <c r="D24" s="15"/>
      <c r="E24" s="16"/>
      <c r="F24" s="17"/>
      <c r="G24" s="5"/>
      <c r="H24" s="8"/>
    </row>
    <row r="25" spans="2:8">
      <c r="B25" s="4"/>
      <c r="C25" s="9"/>
      <c r="D25" s="35"/>
      <c r="E25" s="18"/>
      <c r="F25" s="18"/>
      <c r="G25" s="5"/>
      <c r="H25" s="8"/>
    </row>
    <row r="26" spans="2:8">
      <c r="B26" s="4"/>
      <c r="C26" s="9"/>
      <c r="D26" s="19"/>
      <c r="E26" s="33"/>
      <c r="F26" s="34"/>
      <c r="G26" s="5"/>
      <c r="H26" s="8"/>
    </row>
    <row r="27" spans="2:8">
      <c r="B27" s="4"/>
      <c r="C27" s="9"/>
      <c r="D27" s="22"/>
      <c r="E27" s="23"/>
      <c r="F27" s="23"/>
      <c r="G27" s="5"/>
      <c r="H27" s="8"/>
    </row>
    <row r="28" spans="2:8">
      <c r="B28" s="4"/>
      <c r="C28" s="9"/>
      <c r="D28" s="15"/>
      <c r="E28" s="36"/>
      <c r="F28" s="37"/>
      <c r="G28" s="5"/>
      <c r="H28" s="8"/>
    </row>
    <row r="29" spans="2:8">
      <c r="B29" s="4"/>
      <c r="C29" s="9"/>
      <c r="D29" s="15"/>
      <c r="E29" s="36"/>
      <c r="F29" s="37"/>
      <c r="G29" s="5"/>
      <c r="H29" s="8"/>
    </row>
    <row r="30" spans="2:8">
      <c r="B30" s="4"/>
      <c r="C30" s="9"/>
      <c r="D30" s="15"/>
      <c r="E30" s="36"/>
      <c r="F30" s="37"/>
      <c r="G30" s="5"/>
      <c r="H30" s="8"/>
    </row>
    <row r="31" spans="2:8">
      <c r="B31" s="4"/>
      <c r="C31" s="9"/>
      <c r="D31" s="15"/>
      <c r="E31" s="36"/>
      <c r="F31" s="37"/>
      <c r="G31" s="5"/>
      <c r="H31" s="8"/>
    </row>
    <row r="32" spans="2:8">
      <c r="B32" s="4"/>
      <c r="C32" s="9"/>
      <c r="D32" s="15"/>
      <c r="E32" s="36"/>
      <c r="F32" s="37"/>
      <c r="G32" s="5"/>
      <c r="H32" s="8"/>
    </row>
    <row r="33" spans="2:8">
      <c r="B33" s="4"/>
      <c r="C33" s="9"/>
      <c r="D33" s="15"/>
      <c r="E33" s="36"/>
      <c r="F33" s="37"/>
      <c r="G33" s="5"/>
      <c r="H33" s="8"/>
    </row>
    <row r="34" spans="2:8">
      <c r="D34" s="31"/>
      <c r="E34" s="31"/>
      <c r="F34" s="31"/>
      <c r="G34" s="10" t="s">
        <v>10</v>
      </c>
      <c r="H34" s="6">
        <f>SUM(H17:H33)</f>
        <v>3400</v>
      </c>
    </row>
    <row r="35" spans="2:8">
      <c r="D35" s="32"/>
      <c r="E35" s="32"/>
      <c r="F35" s="32"/>
      <c r="G35" s="10" t="s">
        <v>15</v>
      </c>
      <c r="H35" s="11">
        <f>H34*0.15</f>
        <v>510</v>
      </c>
    </row>
    <row r="36" spans="2:8">
      <c r="D36" s="32"/>
      <c r="E36" s="32"/>
      <c r="F36" s="32"/>
      <c r="G36" s="10" t="s">
        <v>16</v>
      </c>
      <c r="H36" s="12">
        <f>H34+H35</f>
        <v>3910</v>
      </c>
    </row>
    <row r="47" spans="2:8" ht="27.6" customHeight="1"/>
    <row r="48" spans="2:8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1"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23:F23"/>
    <mergeCell ref="F15:G15"/>
    <mergeCell ref="D24:F24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2024-07-17T18:01:05Z</cp:lastPrinted>
  <dcterms:created xsi:type="dcterms:W3CDTF">2022-10-19T19:05:00Z</dcterms:created>
  <dcterms:modified xsi:type="dcterms:W3CDTF">2024-07-20T16:27:10Z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