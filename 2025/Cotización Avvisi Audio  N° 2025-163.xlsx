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5D4834A3-6EF4-41D2-9354-CF6F2B89A7A4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" l="1"/>
  <c r="H27" i="1"/>
  <c r="H17" i="1"/>
  <c r="H26" i="1"/>
  <c r="H20" i="1" l="1"/>
  <c r="H18" i="1"/>
  <c r="H19" i="1"/>
  <c r="H21" i="1"/>
  <c r="H22" i="1"/>
  <c r="H23" i="1"/>
  <c r="H24" i="1"/>
  <c r="H25" i="1"/>
  <c r="H28" i="1"/>
  <c r="H29" i="1"/>
  <c r="H31" i="1" l="1"/>
  <c r="H32" i="1" s="1"/>
</calcChain>
</file>

<file path=xl/sharedStrings.xml><?xml version="1.0" encoding="utf-8"?>
<sst xmlns="http://schemas.openxmlformats.org/spreadsheetml/2006/main" count="25" uniqueCount="24">
  <si>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</si>
  <si>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</si>
  <si>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</si>
  <si>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</si>
  <si>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</si>
  <si>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</si>
  <si>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</si>
  <si>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</si>
  <si>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</si>
  <si>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</si>
  <si>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</si>
  <si>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</si>
  <si>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</si>
  <si>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</si>
  <si>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</si>
  <si>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>RTN</t>
  </si>
  <si>
    <t>No determinado</t>
  </si>
  <si>
    <t>Descripcion</t>
  </si>
  <si>
    <t xml:space="preserve">RAP </t>
  </si>
  <si>
    <t xml:space="preserve">Tegucigalpa </t>
  </si>
  <si>
    <t xml:space="preserve">Eufemio  Martinez </t>
  </si>
  <si>
    <t xml:space="preserve">12 al 17 de mayo </t>
  </si>
  <si>
    <t xml:space="preserve">Audio Profesionalcon mic y tecnico </t>
  </si>
  <si>
    <t>2025-163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</si>
</sst>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rgb="FF00000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7" fillId="4" borderId="0" applyNumberFormat="0" applyBorder="0" applyAlignment="0" applyProtection="0"/>
    <xf numFmtId="0" fontId="8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8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164" fontId="8" fillId="3" borderId="3" xfId="2" applyNumberFormat="1" applyBorder="1" applyAlignment="1"/>
    <xf numFmtId="0" fontId="10" fillId="2" borderId="3" xfId="2" applyFont="1" applyFill="1" applyBorder="1" applyAlignment="1">
      <alignment horizontal="center"/>
    </xf>
    <xf numFmtId="164" fontId="10" fillId="2" borderId="3" xfId="2" applyNumberFormat="1" applyFont="1" applyFill="1" applyBorder="1"/>
    <xf numFmtId="164" fontId="11" fillId="2" borderId="3" xfId="0" applyNumberFormat="1" applyFont="1" applyFill="1" applyBorder="1"/>
    <xf numFmtId="0" fontId="6" fillId="2" borderId="8" xfId="1" applyFont="1" applyFill="1" applyBorder="1" applyAlignment="1">
      <alignment horizontal="center"/>
    </xf>
    <xf numFmtId="164" fontId="8" fillId="3" borderId="9" xfId="2" applyNumberFormat="1" applyBorder="1" applyAlignment="1">
      <alignment horizontal="center"/>
    </xf>
    <xf numFmtId="164" fontId="0" fillId="3" borderId="5" xfId="2" applyNumberFormat="1" applyFont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12" fillId="0" borderId="0" xfId="0" applyFont="1"/>
    <xf numFmtId="0" fontId="12" fillId="3" borderId="3" xfId="2" applyFont="1" applyBorder="1" applyAlignment="1">
      <alignment horizontal="center"/>
    </xf>
    <xf numFmtId="0" fontId="13" fillId="6" borderId="3" xfId="1" applyFont="1" applyFill="1" applyBorder="1" applyAlignment="1">
      <alignment horizontal="center"/>
    </xf>
    <xf numFmtId="0" fontId="13" fillId="6" borderId="5" xfId="1" applyFont="1" applyFill="1" applyBorder="1" applyAlignment="1">
      <alignment horizontal="center"/>
    </xf>
    <xf numFmtId="0" fontId="0" fillId="0" borderId="2" xfId="0" applyBorder="1"/>
    <xf numFmtId="0" fontId="0" fillId="3" borderId="6" xfId="2" applyFont="1" applyBorder="1" applyAlignment="1">
      <alignment horizontal="left" vertical="center"/>
    </xf>
    <xf numFmtId="0" fontId="0" fillId="3" borderId="4" xfId="2" applyFont="1" applyBorder="1" applyAlignment="1">
      <alignment horizontal="left" vertical="center"/>
    </xf>
    <xf numFmtId="0" fontId="0" fillId="3" borderId="5" xfId="2" applyFont="1" applyBorder="1" applyAlignment="1">
      <alignment horizontal="left" vertical="top"/>
    </xf>
    <xf numFmtId="0" fontId="0" fillId="3" borderId="6" xfId="2" applyFont="1" applyBorder="1" applyAlignment="1">
      <alignment horizontal="left" vertical="top"/>
    </xf>
    <xf numFmtId="0" fontId="0" fillId="3" borderId="4" xfId="2" applyFont="1" applyBorder="1" applyAlignment="1">
      <alignment horizontal="left" vertical="top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0" fillId="3" borderId="5" xfId="2" applyFont="1" applyBorder="1" applyAlignment="1">
      <alignment horizontal="left" vertical="center"/>
    </xf>
    <xf numFmtId="14" fontId="0" fillId="0" borderId="2" xfId="0" applyNumberFormat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3" borderId="5" xfId="2" applyFont="1" applyBorder="1" applyAlignment="1">
      <alignment horizontal="left" vertical="top"/>
    </xf>
    <xf numFmtId="0" fontId="13" fillId="6" borderId="5" xfId="1" applyFont="1" applyFill="1" applyBorder="1" applyAlignment="1">
      <alignment horizontal="left"/>
    </xf>
    <xf numFmtId="0" fontId="13" fillId="6" borderId="6" xfId="1" applyFont="1" applyFill="1" applyBorder="1" applyAlignment="1">
      <alignment horizontal="left"/>
    </xf>
    <xf numFmtId="0" fontId="13" fillId="6" borderId="4" xfId="1" applyFont="1" applyFill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3" borderId="5" xfId="2" applyFont="1" applyBorder="1" applyAlignment="1">
      <alignment horizontal="left" vertical="center"/>
    </xf>
    <xf numFmtId="0" fontId="1" fillId="3" borderId="5" xfId="2" applyFont="1" applyBorder="1" applyAlignment="1">
      <alignment horizontal="left"/>
    </xf>
    <xf numFmtId="0" fontId="14" fillId="6" borderId="0" xfId="0" applyFont="1" applyFill="1"/>
    <xf numFmtId="0" fontId="0" fillId="3" borderId="1" xfId="2" applyFont="1" applyBorder="1" applyAlignment="1">
      <alignment horizontal="left"/>
    </xf>
    <xf numFmtId="0" fontId="0" fillId="3" borderId="10" xfId="2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7115" y="6461139"/>
          <a:ext cx="50716" cy="337808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5803"/>
          <a:ext cx="6700297" cy="1308771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88256</xdr:colOff>
      <xdr:row>29</xdr:row>
      <xdr:rowOff>119313</xdr:rowOff>
    </xdr:from>
    <xdr:to>
      <xdr:col>8</xdr:col>
      <xdr:colOff>19551</xdr:colOff>
      <xdr:row>33</xdr:row>
      <xdr:rowOff>85396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88256" y="6109805"/>
          <a:ext cx="6777572" cy="716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802514</xdr:colOff>
      <xdr:row>38</xdr:row>
      <xdr:rowOff>78321</xdr:rowOff>
    </xdr:from>
    <xdr:to>
      <xdr:col>7</xdr:col>
      <xdr:colOff>954914</xdr:colOff>
      <xdr:row>42</xdr:row>
      <xdr:rowOff>63283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06228" y="6990750"/>
          <a:ext cx="3363686" cy="6864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32</xdr:row>
      <xdr:rowOff>65483</xdr:rowOff>
    </xdr:from>
    <xdr:to>
      <xdr:col>4</xdr:col>
      <xdr:colOff>1031398</xdr:colOff>
      <xdr:row>42</xdr:row>
      <xdr:rowOff>92924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18683"/>
          <a:ext cx="3540136" cy="1879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2"/>
  <sheetViews>
    <sheetView tabSelected="1" view="pageLayout" topLeftCell="A5" zoomScale="84" zoomScaleNormal="65" zoomScaleSheetLayoutView="112" zoomScalePageLayoutView="84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32"/>
      <c r="C1" s="32"/>
      <c r="D1" s="32"/>
      <c r="E1" s="32"/>
      <c r="F1" s="32"/>
      <c r="G1" s="32"/>
      <c r="H1" s="32"/>
    </row>
    <row r="6" spans="2:9">
      <c r="H6" s="8" t="s">
        <v>11</v>
      </c>
      <c r="I6" s="1"/>
    </row>
    <row r="7" spans="2:9">
      <c r="H7" s="47" t="s">
        <v>23</v>
      </c>
    </row>
    <row r="12" spans="2:9" ht="12.6" customHeight="1">
      <c r="B12" s="33" t="s">
        <v>13</v>
      </c>
      <c r="C12" s="33"/>
      <c r="D12" s="53" t="s">
        <v>18</v>
      </c>
      <c r="E12" s="35"/>
      <c r="F12" t="s">
        <v>10</v>
      </c>
      <c r="G12" s="56" t="s">
        <v>20</v>
      </c>
      <c r="H12" s="36"/>
    </row>
    <row r="13" spans="2:9" ht="14.4" customHeight="1">
      <c r="B13" s="33" t="s">
        <v>0</v>
      </c>
      <c r="C13" s="33"/>
      <c r="D13" s="54" t="s">
        <v>19</v>
      </c>
      <c r="E13" s="38"/>
      <c r="F13" s="1" t="s">
        <v>15</v>
      </c>
      <c r="G13" s="37"/>
      <c r="H13" s="37"/>
    </row>
    <row r="14" spans="2:9">
      <c r="B14" s="1" t="s">
        <v>1</v>
      </c>
      <c r="C14" s="1" t="s">
        <v>2</v>
      </c>
      <c r="D14" s="34" t="s">
        <v>3</v>
      </c>
      <c r="E14" s="34"/>
      <c r="F14" s="32" t="s">
        <v>9</v>
      </c>
      <c r="G14" s="32"/>
      <c r="H14" s="1" t="s">
        <v>12</v>
      </c>
    </row>
    <row r="15" spans="2:9">
      <c r="B15" s="2">
        <v>45784</v>
      </c>
      <c r="C15" s="1"/>
      <c r="D15" s="55" t="s">
        <v>21</v>
      </c>
      <c r="E15" s="40"/>
      <c r="F15" s="42"/>
      <c r="G15" s="36"/>
      <c r="H15" s="7" t="s">
        <v>16</v>
      </c>
    </row>
    <row r="16" spans="2:9" ht="15.6">
      <c r="B16" s="3" t="s">
        <v>4</v>
      </c>
      <c r="C16" s="3" t="s">
        <v>7</v>
      </c>
      <c r="D16" s="41" t="s">
        <v>17</v>
      </c>
      <c r="E16" s="41"/>
      <c r="F16" s="41"/>
      <c r="G16" s="3" t="s">
        <v>5</v>
      </c>
      <c r="H16" s="13" t="s">
        <v>6</v>
      </c>
    </row>
    <row r="17" spans="2:9" ht="15.6">
      <c r="B17" s="21">
        <v>1</v>
      </c>
      <c r="C17" s="21">
        <v>7</v>
      </c>
      <c r="D17" s="44" t="s">
        <v>22</v>
      </c>
      <c r="E17" s="45"/>
      <c r="F17" s="46"/>
      <c r="G17" s="22">
        <v>2000</v>
      </c>
      <c r="H17" s="14">
        <f t="shared" ref="H17:H29" si="0">B17*G17*C17</f>
        <v>14000</v>
      </c>
    </row>
    <row r="18" spans="2:9">
      <c r="B18" s="4"/>
      <c r="C18" s="4"/>
      <c r="D18" s="43"/>
      <c r="E18" s="27"/>
      <c r="F18" s="28"/>
      <c r="G18" s="15"/>
      <c r="H18" s="14">
        <f t="shared" si="0"/>
        <v>0</v>
      </c>
    </row>
    <row r="19" spans="2:9">
      <c r="B19" s="4"/>
      <c r="C19" s="4"/>
      <c r="D19" s="39"/>
      <c r="E19" s="24"/>
      <c r="F19" s="25"/>
      <c r="G19" s="15"/>
      <c r="H19" s="14">
        <f t="shared" si="0"/>
        <v>0</v>
      </c>
    </row>
    <row r="20" spans="2:9">
      <c r="B20" s="4"/>
      <c r="C20" s="4"/>
      <c r="D20" s="26"/>
      <c r="E20" s="27"/>
      <c r="F20" s="28"/>
      <c r="G20" s="15"/>
      <c r="H20" s="14">
        <f>B20*G20*C20</f>
        <v>0</v>
      </c>
    </row>
    <row r="21" spans="2:9">
      <c r="B21" s="4"/>
      <c r="C21" s="4"/>
      <c r="D21" s="48"/>
      <c r="E21" s="24"/>
      <c r="F21" s="25"/>
      <c r="G21" s="15"/>
      <c r="H21" s="14">
        <f t="shared" si="0"/>
        <v>0</v>
      </c>
    </row>
    <row r="22" spans="2:9">
      <c r="B22" s="20"/>
      <c r="C22" s="4"/>
      <c r="D22" s="29"/>
      <c r="E22" s="30"/>
      <c r="F22" s="31"/>
      <c r="G22" s="15"/>
      <c r="H22" s="14">
        <f t="shared" si="0"/>
        <v>0</v>
      </c>
    </row>
    <row r="23" spans="2:9">
      <c r="B23" s="4"/>
      <c r="C23" s="4"/>
      <c r="D23" s="48"/>
      <c r="E23" s="24"/>
      <c r="F23" s="25"/>
      <c r="G23" s="15"/>
      <c r="H23" s="14">
        <f t="shared" si="0"/>
        <v>0</v>
      </c>
    </row>
    <row r="24" spans="2:9">
      <c r="B24" s="4"/>
      <c r="C24" s="4"/>
      <c r="D24" s="48"/>
      <c r="E24" s="24"/>
      <c r="F24" s="25"/>
      <c r="G24" s="15"/>
      <c r="H24" s="14">
        <f t="shared" si="0"/>
        <v>0</v>
      </c>
    </row>
    <row r="25" spans="2:9">
      <c r="B25" s="4"/>
      <c r="C25" s="4"/>
      <c r="D25" s="48"/>
      <c r="E25" s="24"/>
      <c r="F25" s="25"/>
      <c r="G25" s="15"/>
      <c r="H25" s="14">
        <f t="shared" si="0"/>
        <v>0</v>
      </c>
    </row>
    <row r="26" spans="2:9">
      <c r="B26" s="4"/>
      <c r="C26" s="4"/>
      <c r="D26" s="49"/>
      <c r="E26" s="30"/>
      <c r="F26" s="31"/>
      <c r="G26" s="15"/>
      <c r="H26" s="14">
        <f t="shared" si="0"/>
        <v>0</v>
      </c>
    </row>
    <row r="27" spans="2:9">
      <c r="B27" s="4"/>
      <c r="C27" s="6"/>
      <c r="D27" s="49"/>
      <c r="E27" s="30"/>
      <c r="F27" s="31"/>
      <c r="G27" s="15"/>
      <c r="H27" s="14">
        <f t="shared" si="0"/>
        <v>0</v>
      </c>
    </row>
    <row r="28" spans="2:9">
      <c r="B28" s="4"/>
      <c r="C28" s="6"/>
      <c r="D28" s="50"/>
      <c r="E28" s="51"/>
      <c r="F28" s="52"/>
      <c r="G28" s="15"/>
      <c r="H28" s="14">
        <f>B26*G28*C26</f>
        <v>0</v>
      </c>
      <c r="I28" s="19"/>
    </row>
    <row r="29" spans="2:9">
      <c r="B29" s="4"/>
      <c r="C29" s="6"/>
      <c r="D29" s="16"/>
      <c r="E29" s="17"/>
      <c r="F29" s="18"/>
      <c r="G29" s="9"/>
      <c r="H29" s="14">
        <f t="shared" si="0"/>
        <v>0</v>
      </c>
    </row>
    <row r="30" spans="2:9">
      <c r="D30" s="23"/>
      <c r="E30" s="23"/>
      <c r="F30" s="23"/>
      <c r="G30" s="10" t="s">
        <v>8</v>
      </c>
      <c r="H30" s="11">
        <f>SUM(H17:H29)</f>
        <v>14000</v>
      </c>
    </row>
    <row r="31" spans="2:9">
      <c r="G31" s="10" t="s">
        <v>14</v>
      </c>
      <c r="H31" s="12">
        <f>H30*0.15</f>
        <v>2100</v>
      </c>
    </row>
    <row r="32" spans="2:9">
      <c r="G32" s="10" t="s">
        <v>8</v>
      </c>
      <c r="H32" s="12">
        <f>H31+H30</f>
        <v>16100</v>
      </c>
    </row>
    <row r="34" spans="2:8" ht="15" customHeight="1"/>
    <row r="36" spans="2:8" ht="15" customHeight="1"/>
    <row r="37" spans="2:8" ht="14.4" customHeight="1"/>
    <row r="39" spans="2:8" ht="12.6" customHeight="1"/>
    <row r="42" spans="2:8">
      <c r="B42" s="5"/>
      <c r="C42" s="5"/>
      <c r="D42" s="5"/>
      <c r="E42" s="5"/>
      <c r="F42" s="5"/>
      <c r="G42" s="5"/>
      <c r="H42" s="5"/>
    </row>
    <row r="45" spans="2:8" ht="13.2" customHeight="1"/>
    <row r="47" spans="2:8" ht="14.4" customHeight="1"/>
    <row r="48" spans="2:8" ht="13.8" customHeight="1"/>
    <row r="49" ht="16.05" customHeight="1"/>
    <row r="51" ht="6" customHeight="1"/>
    <row r="52" ht="9.75" customHeight="1"/>
  </sheetData>
  <mergeCells count="24">
    <mergeCell ref="D19:F19"/>
    <mergeCell ref="D25:F25"/>
    <mergeCell ref="D15:E15"/>
    <mergeCell ref="D16:F16"/>
    <mergeCell ref="F15:G15"/>
    <mergeCell ref="D18:F18"/>
    <mergeCell ref="D24:F24"/>
    <mergeCell ref="D17:F17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30:F30"/>
    <mergeCell ref="D23:F23"/>
    <mergeCell ref="D20:F20"/>
    <mergeCell ref="D22:F22"/>
    <mergeCell ref="D21:F21"/>
    <mergeCell ref="D26:F26"/>
    <mergeCell ref="D27:F27"/>
  </mergeCells>
  <phoneticPr fontId="9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2025-05-05T22:26:12Z</cp:lastPrinted>
  <dcterms:created xsi:type="dcterms:W3CDTF">2022-10-19T19:05:00Z</dcterms:created>
  <dcterms:modified xsi:type="dcterms:W3CDTF">2025-05-07T14:22:27Z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