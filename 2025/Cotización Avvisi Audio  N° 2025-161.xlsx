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FF6CE3D3-BF69-4E81-912A-9C508700E03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H37" i="1"/>
  <c r="H35" i="1"/>
  <c r="H34" i="1"/>
  <c r="H33" i="1"/>
  <c r="G33" i="1"/>
  <c r="G32" i="1"/>
  <c r="H32" i="1" s="1"/>
  <c r="H30" i="1"/>
  <c r="H28" i="1"/>
  <c r="H27" i="1"/>
  <c r="G26" i="1"/>
  <c r="H26" i="1" s="1"/>
  <c r="G25" i="1"/>
  <c r="H25" i="1" s="1"/>
  <c r="G19" i="1"/>
  <c r="G18" i="1"/>
  <c r="H18" i="1" s="1"/>
  <c r="H21" i="1" l="1"/>
  <c r="H19" i="1"/>
  <c r="H20" i="1"/>
  <c r="H23" i="1"/>
  <c r="H38" i="1" l="1"/>
  <c r="H39" i="1" l="1"/>
  <c r="H40" i="1" s="1"/>
</calcChain>
</file>

<file path=xl/sharedStrings.xml><?xml version="1.0" encoding="utf-8"?>
<sst xmlns="http://schemas.openxmlformats.org/spreadsheetml/2006/main" count="46" uniqueCount="33">
  <si>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</si>
  <si>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</si>
  <si>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</si>
  <si>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</si>
  <si>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</si>
  <si>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</si>
  <si>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</si>
  <si>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</si>
  <si>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</si>
  <si>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</si>
  <si>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</si>
  <si>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</si>
  <si>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</si>
  <si>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</si>
  <si>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</si>
  <si>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</si>
  <si>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</si>
  <si>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</si>
  <si>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3 Dias </t>
  </si>
  <si>
    <t>Tania Ulloa Galeano</t>
  </si>
  <si>
    <t>San Pedro Sula</t>
  </si>
  <si>
    <t>Pantalla Led 3x2</t>
  </si>
  <si>
    <t xml:space="preserve">Totems </t>
  </si>
  <si>
    <t>Equipo de Audio</t>
  </si>
  <si>
    <t>Starling  (cortesia)</t>
  </si>
  <si>
    <t>Finca Santa Teresa Las Mercedes, Flores, Comayagua</t>
  </si>
  <si>
    <t>Rancho Guacimales, Sector de las Peñas</t>
  </si>
  <si>
    <t>Lepaguare Olancho</t>
  </si>
  <si>
    <t>Transporte y Viaticos</t>
  </si>
  <si>
    <t>Planta de energia</t>
  </si>
  <si>
    <t>7/9/14 de mayo</t>
  </si>
  <si>
    <t>Grupo Tecum</t>
  </si>
  <si>
    <t>2025-161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</si>
</sst>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164" fontId="9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3" fillId="0" borderId="0" xfId="0" applyFont="1"/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left" vertical="top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0" fontId="1" fillId="3" borderId="5" xfId="2" applyFont="1" applyBorder="1" applyAlignment="1">
      <alignment horizontal="left" vertical="center"/>
    </xf>
    <xf numFmtId="0" fontId="7" fillId="2" borderId="8" xfId="1" applyFont="1" applyFill="1" applyBorder="1" applyAlignment="1">
      <alignment horizontal="center"/>
    </xf>
    <xf numFmtId="0" fontId="14" fillId="6" borderId="9" xfId="1" applyFont="1" applyFill="1" applyBorder="1" applyAlignment="1">
      <alignment horizontal="center"/>
    </xf>
    <xf numFmtId="0" fontId="14" fillId="6" borderId="10" xfId="1" applyFont="1" applyFill="1" applyBorder="1" applyAlignment="1">
      <alignment horizontal="left"/>
    </xf>
    <xf numFmtId="0" fontId="14" fillId="6" borderId="1" xfId="1" applyFont="1" applyFill="1" applyBorder="1" applyAlignment="1">
      <alignment horizontal="left"/>
    </xf>
    <xf numFmtId="0" fontId="14" fillId="6" borderId="11" xfId="1" applyFont="1" applyFill="1" applyBorder="1" applyAlignment="1">
      <alignment horizontal="left"/>
    </xf>
    <xf numFmtId="0" fontId="14" fillId="6" borderId="10" xfId="1" applyFont="1" applyFill="1" applyBorder="1" applyAlignment="1">
      <alignment horizontal="center"/>
    </xf>
    <xf numFmtId="0" fontId="16" fillId="6" borderId="12" xfId="1" applyFont="1" applyFill="1" applyBorder="1" applyAlignment="1">
      <alignment horizontal="center"/>
    </xf>
    <xf numFmtId="0" fontId="16" fillId="6" borderId="13" xfId="1" applyFont="1" applyFill="1" applyBorder="1" applyAlignment="1">
      <alignment horizontal="center"/>
    </xf>
    <xf numFmtId="0" fontId="16" fillId="6" borderId="14" xfId="1" applyFont="1" applyFill="1" applyBorder="1" applyAlignment="1">
      <alignment horizontal="center"/>
    </xf>
    <xf numFmtId="164" fontId="9" fillId="3" borderId="6" xfId="2" applyNumberFormat="1" applyBorder="1" applyAlignment="1">
      <alignment horizontal="center"/>
    </xf>
    <xf numFmtId="164" fontId="9" fillId="3" borderId="4" xfId="2" applyNumberFormat="1" applyBorder="1" applyAlignment="1">
      <alignment horizontal="center"/>
    </xf>
    <xf numFmtId="164" fontId="15" fillId="3" borderId="5" xfId="2" applyNumberFormat="1" applyFont="1" applyBorder="1" applyAlignment="1">
      <alignment horizontal="center"/>
    </xf>
    <xf numFmtId="0" fontId="15" fillId="3" borderId="5" xfId="2" applyFont="1" applyBorder="1" applyAlignment="1">
      <alignment horizontal="center"/>
    </xf>
    <xf numFmtId="0" fontId="15" fillId="3" borderId="6" xfId="2" applyFont="1" applyBorder="1" applyAlignment="1">
      <alignment horizontal="center"/>
    </xf>
    <xf numFmtId="0" fontId="15" fillId="3" borderId="4" xfId="2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64" fontId="0" fillId="0" borderId="0" xfId="0" applyNumberForma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43</xdr:row>
      <xdr:rowOff>83925</xdr:rowOff>
    </xdr:from>
    <xdr:to>
      <xdr:col>1</xdr:col>
      <xdr:colOff>113617</xdr:colOff>
      <xdr:row>45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296" y="7954583"/>
          <a:ext cx="50716" cy="33685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848"/>
          <a:ext cx="6682154" cy="130208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37</xdr:row>
      <xdr:rowOff>119313</xdr:rowOff>
    </xdr:from>
    <xdr:to>
      <xdr:col>8</xdr:col>
      <xdr:colOff>19551</xdr:colOff>
      <xdr:row>41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46</xdr:row>
      <xdr:rowOff>601411</xdr:rowOff>
    </xdr:from>
    <xdr:to>
      <xdr:col>4</xdr:col>
      <xdr:colOff>168596</xdr:colOff>
      <xdr:row>48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46</xdr:row>
      <xdr:rowOff>78321</xdr:rowOff>
    </xdr:from>
    <xdr:to>
      <xdr:col>7</xdr:col>
      <xdr:colOff>954914</xdr:colOff>
      <xdr:row>50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40</xdr:row>
      <xdr:rowOff>65483</xdr:rowOff>
    </xdr:from>
    <xdr:to>
      <xdr:col>4</xdr:col>
      <xdr:colOff>1031398</xdr:colOff>
      <xdr:row>50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0"/>
  <sheetViews>
    <sheetView tabSelected="1" view="pageLayout" topLeftCell="A11" zoomScale="76" zoomScaleNormal="65" zoomScaleSheetLayoutView="112" zoomScalePageLayoutView="76" workbookViewId="0">
      <selection activeCell="J20" sqref="J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  <col min="10" max="10" width="11.33203125" bestFit="1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6" t="s">
        <v>12</v>
      </c>
      <c r="I6" s="1"/>
    </row>
    <row r="7" spans="2:9">
      <c r="H7" s="53" t="s">
        <v>32</v>
      </c>
    </row>
    <row r="12" spans="2:9" ht="12.6" customHeight="1">
      <c r="B12" s="24" t="s">
        <v>14</v>
      </c>
      <c r="C12" s="24"/>
      <c r="D12" s="52" t="s">
        <v>31</v>
      </c>
      <c r="E12" s="26"/>
      <c r="F12" t="s">
        <v>11</v>
      </c>
      <c r="G12" s="27" t="s">
        <v>19</v>
      </c>
      <c r="H12" s="20"/>
    </row>
    <row r="13" spans="2:9" ht="14.4" customHeight="1">
      <c r="B13" s="24" t="s">
        <v>0</v>
      </c>
      <c r="C13" s="24"/>
      <c r="D13" s="29" t="s">
        <v>20</v>
      </c>
      <c r="E13" s="30"/>
      <c r="F13" s="1" t="s">
        <v>16</v>
      </c>
      <c r="G13" s="28"/>
      <c r="H13" s="28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45782</v>
      </c>
      <c r="C15" s="1" t="s">
        <v>18</v>
      </c>
      <c r="D15" s="33" t="s">
        <v>30</v>
      </c>
      <c r="E15" s="18"/>
      <c r="F15" s="19"/>
      <c r="G15" s="20"/>
      <c r="H15" s="5" t="s">
        <v>17</v>
      </c>
    </row>
    <row r="16" spans="2:9" ht="16.2" thickBot="1">
      <c r="B16" s="10" t="s">
        <v>4</v>
      </c>
      <c r="C16" s="10" t="s">
        <v>8</v>
      </c>
      <c r="D16" s="36" t="s">
        <v>5</v>
      </c>
      <c r="E16" s="36"/>
      <c r="F16" s="36"/>
      <c r="G16" s="10" t="s">
        <v>6</v>
      </c>
      <c r="H16" s="10" t="s">
        <v>7</v>
      </c>
    </row>
    <row r="17" spans="2:10" ht="16.2" thickBot="1">
      <c r="B17" s="42" t="s">
        <v>25</v>
      </c>
      <c r="C17" s="43"/>
      <c r="D17" s="43"/>
      <c r="E17" s="43"/>
      <c r="F17" s="43"/>
      <c r="G17" s="43"/>
      <c r="H17" s="44"/>
    </row>
    <row r="18" spans="2:10" ht="15.6">
      <c r="B18" s="37">
        <v>1</v>
      </c>
      <c r="C18" s="37">
        <v>1</v>
      </c>
      <c r="D18" s="38" t="s">
        <v>21</v>
      </c>
      <c r="E18" s="39"/>
      <c r="F18" s="40"/>
      <c r="G18" s="41">
        <f>(6*4)*500</f>
        <v>12000</v>
      </c>
      <c r="H18" s="11">
        <f>B18*G18*C18</f>
        <v>12000</v>
      </c>
    </row>
    <row r="19" spans="2:10">
      <c r="B19" s="3">
        <v>4</v>
      </c>
      <c r="C19" s="3">
        <v>1</v>
      </c>
      <c r="D19" s="34" t="s">
        <v>22</v>
      </c>
      <c r="E19" s="21"/>
      <c r="F19" s="22"/>
      <c r="G19" s="12">
        <f>(4*2)*500</f>
        <v>4000</v>
      </c>
      <c r="H19" s="11">
        <f t="shared" ref="H19:H23" si="0">B19*G19*C19</f>
        <v>16000</v>
      </c>
      <c r="J19" s="54">
        <f>SUM(H18:H22)</f>
        <v>44000</v>
      </c>
    </row>
    <row r="20" spans="2:10">
      <c r="B20" s="3">
        <v>1</v>
      </c>
      <c r="C20" s="3">
        <v>1</v>
      </c>
      <c r="D20" s="35" t="s">
        <v>29</v>
      </c>
      <c r="E20" s="16"/>
      <c r="F20" s="17"/>
      <c r="G20" s="12">
        <v>7000</v>
      </c>
      <c r="H20" s="11">
        <f t="shared" si="0"/>
        <v>7000</v>
      </c>
    </row>
    <row r="21" spans="2:10">
      <c r="B21" s="3">
        <v>1</v>
      </c>
      <c r="C21" s="3">
        <v>1</v>
      </c>
      <c r="D21" s="32" t="s">
        <v>23</v>
      </c>
      <c r="E21" s="21"/>
      <c r="F21" s="22"/>
      <c r="G21" s="12">
        <v>7000</v>
      </c>
      <c r="H21" s="11">
        <f>B21*G21*C21</f>
        <v>7000</v>
      </c>
    </row>
    <row r="22" spans="2:10">
      <c r="B22" s="3">
        <v>1</v>
      </c>
      <c r="C22" s="3">
        <v>1</v>
      </c>
      <c r="D22" s="51" t="s">
        <v>28</v>
      </c>
      <c r="E22" s="14"/>
      <c r="F22" s="15"/>
      <c r="G22" s="12">
        <v>2000</v>
      </c>
      <c r="H22" s="11">
        <v>2000</v>
      </c>
    </row>
    <row r="23" spans="2:10">
      <c r="B23" s="3">
        <v>1</v>
      </c>
      <c r="C23" s="3">
        <v>1</v>
      </c>
      <c r="D23" s="35" t="s">
        <v>24</v>
      </c>
      <c r="E23" s="16"/>
      <c r="F23" s="17"/>
      <c r="G23" s="12"/>
      <c r="H23" s="11">
        <f t="shared" si="0"/>
        <v>0</v>
      </c>
    </row>
    <row r="24" spans="2:10">
      <c r="B24" s="47" t="s">
        <v>26</v>
      </c>
      <c r="C24" s="45"/>
      <c r="D24" s="45"/>
      <c r="E24" s="45"/>
      <c r="F24" s="45"/>
      <c r="G24" s="45"/>
      <c r="H24" s="46"/>
    </row>
    <row r="25" spans="2:10" ht="15.6">
      <c r="B25" s="37">
        <v>1</v>
      </c>
      <c r="C25" s="37">
        <v>1</v>
      </c>
      <c r="D25" s="38" t="s">
        <v>21</v>
      </c>
      <c r="E25" s="39"/>
      <c r="F25" s="40"/>
      <c r="G25" s="41">
        <f>(6*4)*500</f>
        <v>12000</v>
      </c>
      <c r="H25" s="11">
        <f>B25*G25*C25</f>
        <v>12000</v>
      </c>
    </row>
    <row r="26" spans="2:10">
      <c r="B26" s="3">
        <v>4</v>
      </c>
      <c r="C26" s="3">
        <v>1</v>
      </c>
      <c r="D26" s="34" t="s">
        <v>22</v>
      </c>
      <c r="E26" s="21"/>
      <c r="F26" s="22"/>
      <c r="G26" s="12">
        <f>(4*2)*500</f>
        <v>4000</v>
      </c>
      <c r="H26" s="11">
        <f t="shared" ref="H26:H30" si="1">B26*G26*C26</f>
        <v>16000</v>
      </c>
    </row>
    <row r="27" spans="2:10">
      <c r="B27" s="3">
        <v>1</v>
      </c>
      <c r="C27" s="3">
        <v>1</v>
      </c>
      <c r="D27" s="35" t="s">
        <v>29</v>
      </c>
      <c r="E27" s="16"/>
      <c r="F27" s="17"/>
      <c r="G27" s="12">
        <v>7000</v>
      </c>
      <c r="H27" s="11">
        <f t="shared" si="1"/>
        <v>7000</v>
      </c>
    </row>
    <row r="28" spans="2:10">
      <c r="B28" s="3">
        <v>1</v>
      </c>
      <c r="C28" s="3">
        <v>1</v>
      </c>
      <c r="D28" s="32" t="s">
        <v>23</v>
      </c>
      <c r="E28" s="21"/>
      <c r="F28" s="22"/>
      <c r="G28" s="12">
        <v>7000</v>
      </c>
      <c r="H28" s="11">
        <f>B28*G28*C28</f>
        <v>7000</v>
      </c>
    </row>
    <row r="29" spans="2:10">
      <c r="B29" s="3">
        <v>1</v>
      </c>
      <c r="C29" s="3">
        <v>1</v>
      </c>
      <c r="D29" s="51" t="s">
        <v>28</v>
      </c>
      <c r="E29" s="14"/>
      <c r="F29" s="15"/>
      <c r="G29" s="12">
        <v>2500</v>
      </c>
      <c r="H29" s="11">
        <v>2500</v>
      </c>
    </row>
    <row r="30" spans="2:10">
      <c r="B30" s="3">
        <v>1</v>
      </c>
      <c r="C30" s="3">
        <v>1</v>
      </c>
      <c r="D30" s="35" t="s">
        <v>24</v>
      </c>
      <c r="E30" s="16"/>
      <c r="F30" s="17"/>
      <c r="G30" s="12"/>
      <c r="H30" s="11">
        <f t="shared" ref="H30" si="2">B30*G30*C30</f>
        <v>0</v>
      </c>
    </row>
    <row r="31" spans="2:10">
      <c r="B31" s="48" t="s">
        <v>27</v>
      </c>
      <c r="C31" s="49"/>
      <c r="D31" s="49"/>
      <c r="E31" s="49"/>
      <c r="F31" s="49"/>
      <c r="G31" s="49"/>
      <c r="H31" s="50"/>
    </row>
    <row r="32" spans="2:10" ht="15.6">
      <c r="B32" s="37">
        <v>1</v>
      </c>
      <c r="C32" s="37">
        <v>1</v>
      </c>
      <c r="D32" s="38" t="s">
        <v>21</v>
      </c>
      <c r="E32" s="39"/>
      <c r="F32" s="40"/>
      <c r="G32" s="41">
        <f>(6*4)*500</f>
        <v>12000</v>
      </c>
      <c r="H32" s="11">
        <f>B32*G32*C32</f>
        <v>12000</v>
      </c>
    </row>
    <row r="33" spans="2:9">
      <c r="B33" s="3">
        <v>4</v>
      </c>
      <c r="C33" s="3">
        <v>1</v>
      </c>
      <c r="D33" s="34" t="s">
        <v>22</v>
      </c>
      <c r="E33" s="21"/>
      <c r="F33" s="22"/>
      <c r="G33" s="12">
        <f>(4*2)*500</f>
        <v>4000</v>
      </c>
      <c r="H33" s="11">
        <f t="shared" ref="H33:H37" si="3">B33*G33*C33</f>
        <v>16000</v>
      </c>
    </row>
    <row r="34" spans="2:9">
      <c r="B34" s="3">
        <v>1</v>
      </c>
      <c r="C34" s="3">
        <v>1</v>
      </c>
      <c r="D34" s="35" t="s">
        <v>29</v>
      </c>
      <c r="E34" s="16"/>
      <c r="F34" s="17"/>
      <c r="G34" s="12">
        <v>7000</v>
      </c>
      <c r="H34" s="11">
        <f t="shared" si="3"/>
        <v>7000</v>
      </c>
    </row>
    <row r="35" spans="2:9">
      <c r="B35" s="3">
        <v>1</v>
      </c>
      <c r="C35" s="3">
        <v>1</v>
      </c>
      <c r="D35" s="32" t="s">
        <v>23</v>
      </c>
      <c r="E35" s="21"/>
      <c r="F35" s="22"/>
      <c r="G35" s="12">
        <v>7000</v>
      </c>
      <c r="H35" s="11">
        <f>B35*G35*C35</f>
        <v>7000</v>
      </c>
      <c r="I35" s="13"/>
    </row>
    <row r="36" spans="2:9">
      <c r="B36" s="3">
        <v>1</v>
      </c>
      <c r="C36" s="3">
        <v>1</v>
      </c>
      <c r="D36" s="51" t="s">
        <v>28</v>
      </c>
      <c r="E36" s="14"/>
      <c r="F36" s="15"/>
      <c r="G36" s="12">
        <v>3000</v>
      </c>
      <c r="H36" s="11">
        <v>3000</v>
      </c>
      <c r="I36" s="13"/>
    </row>
    <row r="37" spans="2:9">
      <c r="B37" s="3">
        <v>1</v>
      </c>
      <c r="C37" s="3">
        <v>1</v>
      </c>
      <c r="D37" s="35" t="s">
        <v>24</v>
      </c>
      <c r="E37" s="16"/>
      <c r="F37" s="17"/>
      <c r="G37" s="12"/>
      <c r="H37" s="11">
        <f t="shared" ref="H37" si="4">B37*G37*C37</f>
        <v>0</v>
      </c>
    </row>
    <row r="38" spans="2:9">
      <c r="D38" s="31"/>
      <c r="E38" s="31"/>
      <c r="F38" s="31"/>
      <c r="G38" s="7" t="s">
        <v>9</v>
      </c>
      <c r="H38" s="8">
        <f>SUM(H19:H37)</f>
        <v>121500</v>
      </c>
    </row>
    <row r="39" spans="2:9">
      <c r="G39" s="7" t="s">
        <v>15</v>
      </c>
      <c r="H39" s="9">
        <f>H38*0.15</f>
        <v>18225</v>
      </c>
    </row>
    <row r="40" spans="2:9">
      <c r="G40" s="7" t="s">
        <v>9</v>
      </c>
      <c r="H40" s="9">
        <f>H39+H38</f>
        <v>139725</v>
      </c>
    </row>
    <row r="42" spans="2:9" ht="15" customHeight="1"/>
    <row r="44" spans="2:9" ht="15" customHeight="1"/>
    <row r="45" spans="2:9" ht="14.4" customHeight="1"/>
    <row r="47" spans="2:9" ht="12.6" customHeight="1"/>
    <row r="50" spans="2:8">
      <c r="B50" s="4"/>
      <c r="C50" s="4"/>
      <c r="D50" s="4"/>
      <c r="E50" s="4"/>
      <c r="F50" s="4"/>
      <c r="G50" s="4"/>
      <c r="H50" s="4"/>
    </row>
    <row r="53" spans="2:8" ht="13.2" customHeight="1"/>
    <row r="55" spans="2:8" ht="14.4" customHeight="1"/>
    <row r="56" spans="2:8" ht="13.8" customHeight="1"/>
    <row r="57" spans="2:8" ht="16.05" customHeight="1"/>
    <row r="59" spans="2:8" ht="6" customHeight="1"/>
    <row r="60" spans="2:8" ht="9.75" customHeight="1"/>
  </sheetData>
  <mergeCells count="31">
    <mergeCell ref="D38:F38"/>
    <mergeCell ref="D25:F25"/>
    <mergeCell ref="D21:F21"/>
    <mergeCell ref="D23:F23"/>
    <mergeCell ref="D28:F28"/>
    <mergeCell ref="D30:F30"/>
    <mergeCell ref="B24:H24"/>
    <mergeCell ref="B31:H31"/>
    <mergeCell ref="D32:F32"/>
    <mergeCell ref="D33:F33"/>
    <mergeCell ref="D34:F34"/>
    <mergeCell ref="D35:F35"/>
    <mergeCell ref="D37:F3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0:F20"/>
    <mergeCell ref="D27:F27"/>
    <mergeCell ref="D15:E15"/>
    <mergeCell ref="D16:F16"/>
    <mergeCell ref="F15:G15"/>
    <mergeCell ref="D19:F19"/>
    <mergeCell ref="D26:F26"/>
    <mergeCell ref="D18:F18"/>
    <mergeCell ref="B17:H17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2025-05-05T18:28:41Z</cp:lastPrinted>
  <dcterms:created xsi:type="dcterms:W3CDTF">2022-10-19T19:05:00Z</dcterms:created>
  <dcterms:modified xsi:type="dcterms:W3CDTF">2025-05-05T22:07:38Z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