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C41E846-0A93-44F6-AB70-951000EDE90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/>
  <c r="H28" i="1"/>
  <c r="H27" i="1"/>
  <c r="H23" i="1"/>
  <c r="H22" i="1"/>
  <c r="H18" i="1"/>
  <c r="H26" i="1" l="1"/>
  <c r="H17" i="1"/>
  <c r="G19" i="1"/>
  <c r="H19" i="1" s="1"/>
  <c r="H24" i="1"/>
  <c r="H25" i="1"/>
  <c r="H20" i="1"/>
  <c r="H31" i="1" l="1"/>
  <c r="H32" i="1" s="1"/>
  <c r="H33" i="1" s="1"/>
</calcChain>
</file>

<file path=xl/sharedStrings.xml><?xml version="1.0" encoding="utf-8"?>
<sst xmlns="http://schemas.openxmlformats.org/spreadsheetml/2006/main" count="37" uniqueCount="36">
  <si>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</si>
  <si>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</si>
  <si>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</si>
  <si>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</si>
  <si>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</si>
  <si>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</si>
  <si>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</si>
  <si>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</si>
  <si>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</si>
  <si>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</si>
  <si>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</si>
  <si>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</si>
  <si>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</si>
  <si>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</si>
  <si>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</si>
  <si>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</si>
  <si>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2025-053</t>
  </si>
  <si>
    <t>NISSAN</t>
  </si>
  <si>
    <t>Tegucigalpa</t>
  </si>
  <si>
    <t xml:space="preserve">13 de Febrero </t>
  </si>
  <si>
    <t>Totem Led 2x1m</t>
  </si>
  <si>
    <t>Audio Profesional</t>
  </si>
  <si>
    <t>DJ Profesional</t>
  </si>
  <si>
    <t>Saxofonista</t>
  </si>
  <si>
    <t xml:space="preserve">Pantalla Led 2.5m x 4m </t>
  </si>
  <si>
    <t>Tarima 5x2.50m a 30cm</t>
  </si>
  <si>
    <t>Arco Led  2.5x3m</t>
  </si>
  <si>
    <t>Maquina de Palomitas</t>
  </si>
  <si>
    <t>Globos con helio</t>
  </si>
  <si>
    <t>Personal Staff</t>
  </si>
  <si>
    <t>Montaje y desmontaje</t>
  </si>
  <si>
    <t>Maquinas de humo (cortesia)</t>
  </si>
  <si>
    <t>Galletas+Papeleria Creativa</t>
  </si>
  <si>
    <t>5 boquitas</t>
  </si>
  <si>
    <t xml:space="preserve">Lic. Tania Ulloa </t>
  </si>
  <si>
    <t>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</si>
</sst>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>
      <alignment horizontal="center" vertical="center"/>
    </xf>
    <xf numFmtId="0" fontId="5" fillId="3" borderId="3" xfId="2" applyBorder="1" applyAlignment="1">
      <alignment horizontal="center"/>
    </xf>
    <xf numFmtId="44" fontId="5" fillId="3" borderId="3" xfId="3" applyFill="1" applyBorder="1" applyAlignment="1"/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44" fontId="5" fillId="3" borderId="8" xfId="3" applyFill="1" applyBorder="1" applyAlignment="1">
      <alignment horizontal="center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482" y="6670204"/>
          <a:ext cx="50716" cy="33211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490"/>
          <a:ext cx="6691014" cy="132058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30</xdr:row>
      <xdr:rowOff>163794</xdr:rowOff>
    </xdr:from>
    <xdr:to>
      <xdr:col>6</xdr:col>
      <xdr:colOff>783365</xdr:colOff>
      <xdr:row>41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zoomScale="129" zoomScaleNormal="100" zoomScaleSheetLayoutView="112" zoomScalePageLayoutView="129" workbookViewId="0">
      <selection activeCell="F15" sqref="F15:G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9"/>
      <c r="C1" s="29"/>
      <c r="D1" s="29"/>
      <c r="E1" s="29"/>
      <c r="F1" s="29"/>
      <c r="G1" s="29"/>
      <c r="H1" s="29"/>
    </row>
    <row r="6" spans="2:9">
      <c r="H6" s="6" t="s">
        <v>12</v>
      </c>
      <c r="I6" s="1"/>
    </row>
    <row r="7" spans="2:9">
      <c r="H7" s="34" t="s">
        <v>16</v>
      </c>
    </row>
    <row r="12" spans="2:9" ht="12.6" customHeight="1">
      <c r="B12" s="30" t="s">
        <v>14</v>
      </c>
      <c r="C12" s="30"/>
      <c r="D12" s="35" t="s">
        <v>17</v>
      </c>
      <c r="E12" s="31"/>
      <c r="F12" t="s">
        <v>11</v>
      </c>
      <c r="G12" s="28" t="s">
        <v>34</v>
      </c>
      <c r="H12" s="28"/>
    </row>
    <row r="13" spans="2:9" ht="14.4" customHeight="1">
      <c r="B13" s="30" t="s">
        <v>0</v>
      </c>
      <c r="C13" s="30"/>
      <c r="D13" s="35" t="s">
        <v>18</v>
      </c>
      <c r="E13" s="31"/>
      <c r="F13" s="31"/>
      <c r="G13" s="31"/>
    </row>
    <row r="14" spans="2:9">
      <c r="B14" s="1" t="s">
        <v>1</v>
      </c>
      <c r="C14" s="1" t="s">
        <v>2</v>
      </c>
      <c r="D14" s="32" t="s">
        <v>3</v>
      </c>
      <c r="E14" s="32"/>
      <c r="F14" s="32" t="s">
        <v>10</v>
      </c>
      <c r="G14" s="32"/>
      <c r="H14" s="1" t="s">
        <v>13</v>
      </c>
    </row>
    <row r="15" spans="2:9">
      <c r="B15" s="2">
        <v>45693</v>
      </c>
      <c r="C15" s="1"/>
      <c r="D15" s="36" t="s">
        <v>19</v>
      </c>
      <c r="E15" s="23"/>
      <c r="F15" s="37" t="s">
        <v>35</v>
      </c>
      <c r="G15" s="28"/>
      <c r="H15" s="5"/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3" t="s">
        <v>7</v>
      </c>
    </row>
    <row r="17" spans="2:8">
      <c r="B17" s="10">
        <v>1</v>
      </c>
      <c r="C17" s="10">
        <v>1</v>
      </c>
      <c r="D17" s="25" t="s">
        <v>24</v>
      </c>
      <c r="E17" s="26"/>
      <c r="F17" s="27"/>
      <c r="G17" s="19">
        <v>18000</v>
      </c>
      <c r="H17" s="19">
        <f>G17*C17*B17</f>
        <v>18000</v>
      </c>
    </row>
    <row r="18" spans="2:8">
      <c r="B18" s="10">
        <v>1</v>
      </c>
      <c r="C18" s="10">
        <v>1</v>
      </c>
      <c r="D18" s="13" t="s">
        <v>25</v>
      </c>
      <c r="E18" s="14"/>
      <c r="F18" s="15"/>
      <c r="G18" s="19">
        <v>4500</v>
      </c>
      <c r="H18" s="19">
        <f>G18*C18*B18</f>
        <v>4500</v>
      </c>
    </row>
    <row r="19" spans="2:8">
      <c r="B19" s="11">
        <v>4</v>
      </c>
      <c r="C19" s="10">
        <v>1</v>
      </c>
      <c r="D19" s="25" t="s">
        <v>20</v>
      </c>
      <c r="E19" s="26"/>
      <c r="F19" s="27"/>
      <c r="G19" s="12">
        <f>10*400</f>
        <v>4000</v>
      </c>
      <c r="H19" s="12">
        <f>G19*C19*B19</f>
        <v>16000</v>
      </c>
    </row>
    <row r="20" spans="2:8">
      <c r="B20" s="11">
        <v>1</v>
      </c>
      <c r="C20" s="10">
        <v>1</v>
      </c>
      <c r="D20" s="20" t="s">
        <v>26</v>
      </c>
      <c r="E20" s="21"/>
      <c r="F20" s="22"/>
      <c r="G20" s="12">
        <v>6400</v>
      </c>
      <c r="H20" s="12">
        <f t="shared" ref="H20:H29" si="0">G20*C20*B20</f>
        <v>6400</v>
      </c>
    </row>
    <row r="21" spans="2:8">
      <c r="B21" s="11">
        <v>2</v>
      </c>
      <c r="C21" s="10">
        <v>1</v>
      </c>
      <c r="D21" s="16" t="s">
        <v>31</v>
      </c>
      <c r="E21" s="17"/>
      <c r="F21" s="18"/>
      <c r="G21" s="12"/>
      <c r="H21" s="12"/>
    </row>
    <row r="22" spans="2:8">
      <c r="B22" s="11">
        <v>2</v>
      </c>
      <c r="C22" s="10">
        <v>1</v>
      </c>
      <c r="D22" s="16" t="s">
        <v>29</v>
      </c>
      <c r="E22" s="17"/>
      <c r="F22" s="18"/>
      <c r="G22" s="12">
        <v>1000</v>
      </c>
      <c r="H22" s="12">
        <f>G22*C22*B22</f>
        <v>2000</v>
      </c>
    </row>
    <row r="23" spans="2:8">
      <c r="B23" s="11">
        <v>1</v>
      </c>
      <c r="C23" s="10">
        <v>1</v>
      </c>
      <c r="D23" s="16" t="s">
        <v>30</v>
      </c>
      <c r="E23" s="17"/>
      <c r="F23" s="18"/>
      <c r="G23" s="12">
        <v>2500</v>
      </c>
      <c r="H23" s="12">
        <f t="shared" si="0"/>
        <v>2500</v>
      </c>
    </row>
    <row r="24" spans="2:8">
      <c r="B24" s="11">
        <v>1</v>
      </c>
      <c r="C24" s="10">
        <v>1</v>
      </c>
      <c r="D24" s="25" t="s">
        <v>21</v>
      </c>
      <c r="E24" s="26"/>
      <c r="F24" s="27"/>
      <c r="G24" s="12">
        <v>7000</v>
      </c>
      <c r="H24" s="12">
        <f t="shared" si="0"/>
        <v>7000</v>
      </c>
    </row>
    <row r="25" spans="2:8">
      <c r="B25" s="11">
        <v>1</v>
      </c>
      <c r="C25" s="10">
        <v>1</v>
      </c>
      <c r="D25" s="25" t="s">
        <v>22</v>
      </c>
      <c r="E25" s="26"/>
      <c r="F25" s="27"/>
      <c r="G25" s="12">
        <v>3500</v>
      </c>
      <c r="H25" s="12">
        <f t="shared" si="0"/>
        <v>3500</v>
      </c>
    </row>
    <row r="26" spans="2:8">
      <c r="B26" s="11">
        <v>1</v>
      </c>
      <c r="C26" s="10">
        <v>1</v>
      </c>
      <c r="D26" s="13" t="s">
        <v>23</v>
      </c>
      <c r="E26" s="14"/>
      <c r="F26" s="15"/>
      <c r="G26" s="12">
        <v>3500</v>
      </c>
      <c r="H26" s="12">
        <f t="shared" si="0"/>
        <v>3500</v>
      </c>
    </row>
    <row r="27" spans="2:8">
      <c r="B27" s="11">
        <v>1</v>
      </c>
      <c r="C27" s="10">
        <v>1</v>
      </c>
      <c r="D27" s="13" t="s">
        <v>27</v>
      </c>
      <c r="E27" s="14"/>
      <c r="F27" s="15"/>
      <c r="G27" s="12">
        <v>3000</v>
      </c>
      <c r="H27" s="12">
        <f t="shared" si="0"/>
        <v>3000</v>
      </c>
    </row>
    <row r="28" spans="2:8">
      <c r="B28" s="11">
        <v>200</v>
      </c>
      <c r="C28" s="10">
        <v>1</v>
      </c>
      <c r="D28" s="13" t="s">
        <v>32</v>
      </c>
      <c r="E28" s="14"/>
      <c r="F28" s="15"/>
      <c r="G28" s="12">
        <v>63</v>
      </c>
      <c r="H28" s="12">
        <f t="shared" si="0"/>
        <v>12600</v>
      </c>
    </row>
    <row r="29" spans="2:8">
      <c r="B29" s="11">
        <v>50</v>
      </c>
      <c r="C29" s="10">
        <v>1</v>
      </c>
      <c r="D29" s="13" t="s">
        <v>33</v>
      </c>
      <c r="E29" s="14"/>
      <c r="F29" s="15"/>
      <c r="G29" s="12">
        <v>350</v>
      </c>
      <c r="H29" s="12">
        <f t="shared" si="0"/>
        <v>17500</v>
      </c>
    </row>
    <row r="30" spans="2:8">
      <c r="B30" s="11">
        <v>20</v>
      </c>
      <c r="C30" s="11">
        <v>1</v>
      </c>
      <c r="D30" s="25" t="s">
        <v>28</v>
      </c>
      <c r="E30" s="26"/>
      <c r="F30" s="27"/>
      <c r="G30" s="12">
        <v>125</v>
      </c>
      <c r="H30" s="12">
        <f>G30*C30*B30</f>
        <v>2500</v>
      </c>
    </row>
    <row r="31" spans="2:8">
      <c r="D31" s="33"/>
      <c r="E31" s="33"/>
      <c r="F31" s="33"/>
      <c r="G31" s="7" t="s">
        <v>9</v>
      </c>
      <c r="H31" s="8">
        <f>SUM(H17:H30)</f>
        <v>99000</v>
      </c>
    </row>
    <row r="32" spans="2:8">
      <c r="G32" s="7" t="s">
        <v>15</v>
      </c>
      <c r="H32" s="9">
        <f>H31*0.15</f>
        <v>14850</v>
      </c>
    </row>
    <row r="33" spans="2:8">
      <c r="G33" s="7" t="s">
        <v>9</v>
      </c>
      <c r="H33" s="9">
        <f>H32+H31</f>
        <v>113850</v>
      </c>
    </row>
    <row r="40" spans="2:8" ht="62.4" customHeight="1"/>
    <row r="42" spans="2:8" ht="27.6" customHeight="1"/>
    <row r="43" spans="2:8" ht="5.4" customHeight="1">
      <c r="B43" s="4"/>
      <c r="C43" s="4"/>
      <c r="D43" s="4"/>
      <c r="E43" s="4"/>
      <c r="F43" s="4"/>
      <c r="G43" s="4"/>
      <c r="H43" s="4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18">
    <mergeCell ref="D31:F31"/>
    <mergeCell ref="D30:F30"/>
    <mergeCell ref="D24:F24"/>
    <mergeCell ref="D25:F25"/>
    <mergeCell ref="B1:H1"/>
    <mergeCell ref="B12:C12"/>
    <mergeCell ref="B13:C13"/>
    <mergeCell ref="D13:G13"/>
    <mergeCell ref="D14:E14"/>
    <mergeCell ref="D12:E12"/>
    <mergeCell ref="G12:H12"/>
    <mergeCell ref="F14:G14"/>
    <mergeCell ref="D20:F20"/>
    <mergeCell ref="D15:E15"/>
    <mergeCell ref="D16:F16"/>
    <mergeCell ref="D17:F17"/>
    <mergeCell ref="F15:G15"/>
    <mergeCell ref="D19:F19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2025-02-03T06:29:43Z</cp:lastPrinted>
  <dcterms:created xsi:type="dcterms:W3CDTF">2022-10-19T19:05:00Z</dcterms:created>
  <dcterms:modified xsi:type="dcterms:W3CDTF">2025-02-05T22:45:12Z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