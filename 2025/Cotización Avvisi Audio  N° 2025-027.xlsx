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B84A5C4-486F-471C-B98E-BAA4227A59D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8" i="1"/>
  <c r="H19" i="1"/>
  <c r="H20" i="1"/>
  <c r="H17" i="1"/>
  <c r="H22" i="1" l="1"/>
  <c r="H23" i="1" s="1"/>
  <c r="H24" i="1" l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<sst xmlns="http://schemas.openxmlformats.org/spreadsheetml/2006/main" count="27" uniqueCount="26">
  <si>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</si>
  <si>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</si>
  <si>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</si>
  <si>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</si>
  <si>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</si>
  <si>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</si>
  <si>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</si>
  <si>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</si>
  <si>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</si>
  <si>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</si>
  <si>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</si>
  <si>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</si>
  <si>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</si>
  <si>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</si>
  <si>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ISV 15 %</t>
  </si>
  <si>
    <t xml:space="preserve">Eufemio Martinez </t>
  </si>
  <si>
    <t>2025-027</t>
  </si>
  <si>
    <t xml:space="preserve">Tegucigalpa / Cascadas Mall </t>
  </si>
  <si>
    <t xml:space="preserve">Corporativo </t>
  </si>
  <si>
    <t>Pantalla led 2 x 4 P3.91</t>
  </si>
  <si>
    <t>Totem Led 2 x1 P 3.91</t>
  </si>
  <si>
    <t xml:space="preserve">Tarima 6.25 x 2.50 a 50 cm </t>
  </si>
  <si>
    <t>Compañía Televisora Hondureña</t>
  </si>
  <si>
    <t xml:space="preserve">RTN  </t>
  </si>
  <si>
    <t>Luces Roboticas ( cortesia )</t>
  </si>
  <si>
    <t>Maquinas de Humo verticales (cortesia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</si>
</sst>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165" fontId="6" fillId="3" borderId="3" xfId="2" applyNumberFormat="1" applyBorder="1" applyAlignment="1"/>
    <xf numFmtId="0" fontId="6" fillId="3" borderId="3" xfId="2" applyBorder="1" applyAlignment="1">
      <alignment horizontal="center"/>
    </xf>
    <xf numFmtId="0" fontId="1" fillId="0" borderId="7" xfId="0" applyFont="1" applyBorder="1" applyAlignment="1">
      <alignment horizontal="center"/>
    </xf>
    <xf numFmtId="165" fontId="6" fillId="3" borderId="3" xfId="3" applyNumberFormat="1" applyFill="1" applyBorder="1" applyAlignment="1">
      <alignment vertical="center"/>
    </xf>
    <xf numFmtId="1" fontId="0" fillId="0" borderId="1" xfId="0" applyNumberFormat="1" applyBorder="1" applyAlignment="1">
      <alignment horizontal="center"/>
    </xf>
    <xf numFmtId="44" fontId="0" fillId="3" borderId="3" xfId="3" applyFont="1" applyFill="1" applyBorder="1" applyAlignment="1"/>
    <xf numFmtId="44" fontId="6" fillId="3" borderId="3" xfId="3" applyFill="1" applyBorder="1" applyAlignment="1">
      <alignment vertic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27</xdr:row>
      <xdr:rowOff>83925</xdr:rowOff>
    </xdr:from>
    <xdr:to>
      <xdr:col>1</xdr:col>
      <xdr:colOff>113617</xdr:colOff>
      <xdr:row>29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696" y="5001104"/>
          <a:ext cx="50716" cy="3305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733"/>
          <a:ext cx="6685410" cy="1315284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21</xdr:row>
      <xdr:rowOff>163794</xdr:rowOff>
    </xdr:from>
    <xdr:to>
      <xdr:col>6</xdr:col>
      <xdr:colOff>783365</xdr:colOff>
      <xdr:row>32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30</xdr:row>
      <xdr:rowOff>601411</xdr:rowOff>
    </xdr:from>
    <xdr:to>
      <xdr:col>4</xdr:col>
      <xdr:colOff>168596</xdr:colOff>
      <xdr:row>32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30</xdr:row>
      <xdr:rowOff>612567</xdr:rowOff>
    </xdr:from>
    <xdr:to>
      <xdr:col>7</xdr:col>
      <xdr:colOff>991200</xdr:colOff>
      <xdr:row>34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29</xdr:row>
      <xdr:rowOff>1</xdr:rowOff>
    </xdr:from>
    <xdr:to>
      <xdr:col>4</xdr:col>
      <xdr:colOff>628779</xdr:colOff>
      <xdr:row>32</xdr:row>
      <xdr:rowOff>327589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10842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view="pageLayout" topLeftCell="A14" zoomScale="117" zoomScaleNormal="100" zoomScaleSheetLayoutView="112" zoomScalePageLayoutView="117" workbookViewId="0">
      <selection activeCell="D21" sqref="D21:F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6.777343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5" t="s">
        <v>12</v>
      </c>
      <c r="I6" s="1"/>
    </row>
    <row r="7" spans="2:9">
      <c r="H7" s="12" t="s">
        <v>16</v>
      </c>
    </row>
    <row r="12" spans="2:9" ht="12.6" customHeight="1">
      <c r="B12" s="26" t="s">
        <v>13</v>
      </c>
      <c r="C12" s="26"/>
      <c r="D12" s="27" t="s">
        <v>22</v>
      </c>
      <c r="E12" s="28"/>
      <c r="F12" t="s">
        <v>11</v>
      </c>
      <c r="G12" s="24" t="s">
        <v>15</v>
      </c>
      <c r="H12" s="24"/>
    </row>
    <row r="13" spans="2:9" ht="14.4" customHeight="1">
      <c r="B13" s="26" t="s">
        <v>0</v>
      </c>
      <c r="C13" s="26"/>
      <c r="D13" s="27" t="s">
        <v>17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23</v>
      </c>
    </row>
    <row r="15" spans="2:9">
      <c r="B15" s="2">
        <v>45684</v>
      </c>
      <c r="C15" s="1"/>
      <c r="D15" s="17">
        <v>45686</v>
      </c>
      <c r="E15" s="18"/>
      <c r="F15" s="23" t="s">
        <v>18</v>
      </c>
      <c r="G15" s="24"/>
      <c r="H15" s="14">
        <v>8019995238137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20" t="s">
        <v>19</v>
      </c>
      <c r="E17" s="21"/>
      <c r="F17" s="22"/>
      <c r="G17" s="10">
        <v>16000</v>
      </c>
      <c r="H17" s="13">
        <f>B17*G17*C17</f>
        <v>16000</v>
      </c>
    </row>
    <row r="18" spans="2:8">
      <c r="B18" s="9">
        <v>2</v>
      </c>
      <c r="C18" s="9">
        <v>1</v>
      </c>
      <c r="D18" s="20" t="s">
        <v>20</v>
      </c>
      <c r="E18" s="21"/>
      <c r="F18" s="22"/>
      <c r="G18" s="10">
        <v>4000</v>
      </c>
      <c r="H18" s="13">
        <f t="shared" ref="H18:H21" si="0">B18*G18*C18</f>
        <v>8000</v>
      </c>
    </row>
    <row r="19" spans="2:8">
      <c r="B19" s="11">
        <v>1</v>
      </c>
      <c r="C19" s="11">
        <v>1</v>
      </c>
      <c r="D19" s="20" t="s">
        <v>21</v>
      </c>
      <c r="E19" s="21"/>
      <c r="F19" s="22"/>
      <c r="G19" s="10">
        <v>4000</v>
      </c>
      <c r="H19" s="13">
        <f t="shared" si="0"/>
        <v>4000</v>
      </c>
    </row>
    <row r="20" spans="2:8">
      <c r="B20" s="11">
        <v>4</v>
      </c>
      <c r="C20" s="11">
        <v>1</v>
      </c>
      <c r="D20" s="20" t="s">
        <v>24</v>
      </c>
      <c r="E20" s="21"/>
      <c r="F20" s="22"/>
      <c r="G20" s="15">
        <v>0</v>
      </c>
      <c r="H20" s="16">
        <f t="shared" si="0"/>
        <v>0</v>
      </c>
    </row>
    <row r="21" spans="2:8">
      <c r="B21" s="11">
        <v>2</v>
      </c>
      <c r="C21" s="11">
        <v>1</v>
      </c>
      <c r="D21" s="20" t="s">
        <v>25</v>
      </c>
      <c r="E21" s="31"/>
      <c r="F21" s="32"/>
      <c r="G21" s="15">
        <v>0</v>
      </c>
      <c r="H21" s="16">
        <f t="shared" si="0"/>
        <v>0</v>
      </c>
    </row>
    <row r="22" spans="2:8">
      <c r="D22" s="30"/>
      <c r="E22" s="30"/>
      <c r="F22" s="30"/>
      <c r="G22" s="6" t="s">
        <v>9</v>
      </c>
      <c r="H22" s="7">
        <f>SUM(H17:H21)</f>
        <v>28000</v>
      </c>
    </row>
    <row r="23" spans="2:8">
      <c r="G23" s="6" t="s">
        <v>14</v>
      </c>
      <c r="H23" s="8">
        <f>H22*0.15</f>
        <v>4200</v>
      </c>
    </row>
    <row r="24" spans="2:8">
      <c r="G24" s="6" t="s">
        <v>9</v>
      </c>
      <c r="H24" s="8">
        <f>H23+H22</f>
        <v>32200</v>
      </c>
    </row>
    <row r="30" spans="2:8" ht="31.8" customHeight="1"/>
    <row r="31" spans="2:8" ht="73.8" customHeight="1"/>
    <row r="33" spans="2:8" ht="27.6" customHeight="1"/>
    <row r="34" spans="2:8" ht="5.4" customHeight="1">
      <c r="B34" s="4"/>
      <c r="C34" s="4"/>
      <c r="D34" s="4"/>
      <c r="E34" s="4"/>
      <c r="F34" s="4"/>
      <c r="G34" s="4"/>
      <c r="H34" s="4"/>
    </row>
    <row r="36" spans="2:8" ht="25.2" customHeight="1"/>
    <row r="43" spans="2:8" ht="21" customHeight="1"/>
    <row r="45" spans="2:8" ht="1.95" customHeight="1"/>
    <row r="46" spans="2:8" ht="7.95" customHeight="1"/>
    <row r="47" spans="2:8" ht="16.05" customHeight="1"/>
    <row r="49" ht="6" customHeight="1"/>
    <row r="50" ht="9.75" customHeight="1"/>
  </sheetData>
  <mergeCells count="17">
    <mergeCell ref="D22:F22"/>
    <mergeCell ref="D20:F20"/>
    <mergeCell ref="D19:F19"/>
    <mergeCell ref="D21:F21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2025-01-27T18:12:10Z</cp:lastPrinted>
  <dcterms:created xsi:type="dcterms:W3CDTF">2022-10-19T19:05:00Z</dcterms:created>
  <dcterms:modified xsi:type="dcterms:W3CDTF">2025-01-28T00:48:55Z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