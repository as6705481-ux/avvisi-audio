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AF13847-1BA3-4B48-897E-541983F464B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<sst xmlns="http://schemas.openxmlformats.org/spreadsheetml/2006/main" count="27" uniqueCount="26">
  <si>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</si>
  <si>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</si>
  <si>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</si>
  <si>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</si>
  <si>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</si>
  <si>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</si>
  <si>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</si>
  <si>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</si>
  <si>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</si>
  <si>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</si>
  <si>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</si>
  <si>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</si>
  <si>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</si>
  <si>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</si>
  <si>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</si>
  <si>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</si>
  <si>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</si>
  <si>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</si>
  <si>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</si>
  <si>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Grupo Q </t>
  </si>
  <si>
    <t xml:space="preserve">Activacion BTL </t>
  </si>
  <si>
    <t xml:space="preserve">1 dias </t>
  </si>
  <si>
    <t xml:space="preserve">Traslado de activos montaje y desmontaje </t>
  </si>
  <si>
    <t xml:space="preserve">Activaciones en Punto de venta edecan </t>
  </si>
  <si>
    <t xml:space="preserve">19 , 20 ,23 y 24 de Junio </t>
  </si>
  <si>
    <t>2025-188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</si>
</sst>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>
      <alignment horizontal="center"/>
    </xf>
    <xf numFmtId="164" fontId="8" fillId="3" borderId="5" xfId="2" applyNumberFormat="1" applyBorder="1" applyAlignment="1"/>
    <xf numFmtId="164" fontId="0" fillId="3" borderId="5" xfId="2" applyNumberFormat="1" applyFon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topLeftCell="A4" zoomScale="110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40" t="s">
        <v>25</v>
      </c>
    </row>
    <row r="12" spans="2:9" ht="12.6" customHeight="1">
      <c r="B12" s="28" t="s">
        <v>14</v>
      </c>
      <c r="C12" s="28"/>
      <c r="D12" s="30" t="s">
        <v>19</v>
      </c>
      <c r="E12" s="31"/>
      <c r="F12" t="s">
        <v>11</v>
      </c>
      <c r="G12" s="32" t="s">
        <v>15</v>
      </c>
      <c r="H12" s="32"/>
    </row>
    <row r="13" spans="2:9" ht="14.4" customHeight="1">
      <c r="B13" s="28" t="s">
        <v>0</v>
      </c>
      <c r="C13" s="28"/>
      <c r="D13" s="34" t="s">
        <v>17</v>
      </c>
      <c r="E13" s="35"/>
      <c r="F13" s="1" t="s">
        <v>18</v>
      </c>
      <c r="G13" s="33"/>
      <c r="H13" s="33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45754</v>
      </c>
      <c r="C15" s="1" t="s">
        <v>21</v>
      </c>
      <c r="D15" s="36" t="s">
        <v>24</v>
      </c>
      <c r="E15" s="37"/>
      <c r="F15" s="39" t="s">
        <v>20</v>
      </c>
      <c r="G15" s="32"/>
      <c r="H15" s="7"/>
    </row>
    <row r="16" spans="2:9" ht="15.6">
      <c r="B16" s="3" t="s">
        <v>4</v>
      </c>
      <c r="C16" s="3" t="s">
        <v>8</v>
      </c>
      <c r="D16" s="38" t="s">
        <v>5</v>
      </c>
      <c r="E16" s="38"/>
      <c r="F16" s="38"/>
      <c r="G16" s="3" t="s">
        <v>6</v>
      </c>
      <c r="H16" s="16" t="s">
        <v>7</v>
      </c>
    </row>
    <row r="17" spans="2:8">
      <c r="B17" s="4">
        <v>4</v>
      </c>
      <c r="C17" s="4">
        <v>1</v>
      </c>
      <c r="D17" s="18" t="s">
        <v>23</v>
      </c>
      <c r="E17" s="19"/>
      <c r="F17" s="19"/>
      <c r="G17" s="13">
        <v>7000</v>
      </c>
      <c r="H17" s="17">
        <f>B17*G17*C17</f>
        <v>28000</v>
      </c>
    </row>
    <row r="18" spans="2:8">
      <c r="B18" s="4">
        <v>1</v>
      </c>
      <c r="C18" s="6">
        <v>1</v>
      </c>
      <c r="D18" s="18" t="s">
        <v>22</v>
      </c>
      <c r="E18" s="19"/>
      <c r="F18" s="19"/>
      <c r="G18" s="14"/>
      <c r="H18" s="17">
        <f t="shared" ref="H18:H33" si="0">B18*G18*C18</f>
        <v>0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4"/>
      <c r="C22" s="6"/>
      <c r="D22" s="20"/>
      <c r="E22" s="21"/>
      <c r="F22" s="22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4"/>
      <c r="E24" s="25"/>
      <c r="F24" s="26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6"/>
      <c r="C26" s="6"/>
      <c r="D26" s="18"/>
      <c r="E26" s="19"/>
      <c r="F26" s="19"/>
      <c r="G26" s="14"/>
      <c r="H26" s="17">
        <f t="shared" si="0"/>
        <v>0</v>
      </c>
    </row>
    <row r="27" spans="2:8">
      <c r="B27" s="4"/>
      <c r="C27" s="6"/>
      <c r="D27" s="20"/>
      <c r="E27" s="21"/>
      <c r="F27" s="22"/>
      <c r="G27" s="14"/>
      <c r="H27" s="17">
        <f t="shared" si="0"/>
        <v>0</v>
      </c>
    </row>
    <row r="28" spans="2:8">
      <c r="B28" s="4"/>
      <c r="C28" s="6"/>
      <c r="D28" s="20"/>
      <c r="E28" s="21"/>
      <c r="F28" s="22"/>
      <c r="G28" s="14"/>
      <c r="H28" s="17">
        <f t="shared" si="0"/>
        <v>0</v>
      </c>
    </row>
    <row r="29" spans="2:8">
      <c r="B29" s="4"/>
      <c r="C29" s="6"/>
      <c r="D29" s="20"/>
      <c r="E29" s="21"/>
      <c r="F29" s="22"/>
      <c r="G29" s="14"/>
      <c r="H29" s="17">
        <f t="shared" si="0"/>
        <v>0</v>
      </c>
    </row>
    <row r="30" spans="2:8">
      <c r="B30" s="4"/>
      <c r="C30" s="6"/>
      <c r="D30" s="20"/>
      <c r="E30" s="21"/>
      <c r="F30" s="22"/>
      <c r="G30" s="9"/>
      <c r="H30" s="17">
        <f t="shared" si="0"/>
        <v>0</v>
      </c>
    </row>
    <row r="31" spans="2:8">
      <c r="B31" s="4"/>
      <c r="C31" s="6"/>
      <c r="D31" s="20"/>
      <c r="E31" s="21"/>
      <c r="F31" s="22"/>
      <c r="G31" s="9"/>
      <c r="H31" s="17">
        <f t="shared" si="0"/>
        <v>0</v>
      </c>
    </row>
    <row r="32" spans="2:8">
      <c r="B32" s="4"/>
      <c r="C32" s="6"/>
      <c r="D32" s="20"/>
      <c r="E32" s="21"/>
      <c r="F32" s="22"/>
      <c r="G32" s="9"/>
      <c r="H32" s="17">
        <f t="shared" si="0"/>
        <v>0</v>
      </c>
    </row>
    <row r="33" spans="2:8">
      <c r="B33" s="4"/>
      <c r="C33" s="6"/>
      <c r="D33" s="20"/>
      <c r="E33" s="21"/>
      <c r="F33" s="22"/>
      <c r="G33" s="9"/>
      <c r="H33" s="17">
        <f t="shared" si="0"/>
        <v>0</v>
      </c>
    </row>
    <row r="34" spans="2:8">
      <c r="D34" s="23"/>
      <c r="E34" s="23"/>
      <c r="F34" s="23"/>
      <c r="G34" s="10" t="s">
        <v>9</v>
      </c>
      <c r="H34" s="11">
        <f>SUM(H17:H33)</f>
        <v>28000</v>
      </c>
    </row>
    <row r="35" spans="2:8">
      <c r="G35" s="10" t="s">
        <v>16</v>
      </c>
      <c r="H35" s="12">
        <f>H34*0.15</f>
        <v>4200</v>
      </c>
    </row>
    <row r="36" spans="2:8">
      <c r="G36" s="10" t="s">
        <v>9</v>
      </c>
      <c r="H36" s="12">
        <f>H35+H34</f>
        <v>32200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2025-04-07T19:14:15Z</cp:lastPrinted>
  <dcterms:created xsi:type="dcterms:W3CDTF">2022-10-19T19:05:00Z</dcterms:created>
  <dcterms:modified xsi:type="dcterms:W3CDTF">2025-06-20T17:52:24Z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