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E4790586-9F50-419A-ADBA-26771CB5E74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4" i="1" l="1"/>
  <c r="H25" i="1" l="1"/>
  <c r="H26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<sst xmlns="http://schemas.openxmlformats.org/spreadsheetml/2006/main" count="29" uniqueCount="28">
  <si>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</si>
  <si>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</si>
  <si>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</si>
  <si>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</si>
  <si>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</si>
  <si>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</si>
  <si>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</si>
  <si>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</si>
  <si>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</si>
  <si>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</si>
  <si>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</si>
  <si>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</si>
  <si>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</si>
  <si>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</si>
  <si>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</si>
  <si>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</si>
  <si>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</si>
  <si>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Luces Led </t>
  </si>
  <si>
    <t xml:space="preserve">5 Horas </t>
  </si>
  <si>
    <t xml:space="preserve">Microfonos Inalambricos </t>
  </si>
  <si>
    <t xml:space="preserve">Personal tecnico y de montaje </t>
  </si>
  <si>
    <t>2025-123</t>
  </si>
  <si>
    <t xml:space="preserve">Pantalla led 3 x 2 </t>
  </si>
  <si>
    <t>Luces Roboticas</t>
  </si>
  <si>
    <t xml:space="preserve">Audio Profesional </t>
  </si>
  <si>
    <t>Alexis Lezama</t>
  </si>
  <si>
    <t>Lima Cortes</t>
  </si>
  <si>
    <t>Tarima 4x3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</si>
</sst>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5" fillId="2" borderId="8" xfId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7" fillId="3" borderId="8" xfId="2" applyNumberFormat="1" applyBorder="1" applyAlignment="1">
      <alignment horizontal="center"/>
    </xf>
    <xf numFmtId="164" fontId="7" fillId="3" borderId="10" xfId="2" applyNumberFormat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7" fillId="3" borderId="10" xfId="2" applyNumberFormat="1" applyBorder="1" applyAlignment="1"/>
    <xf numFmtId="164" fontId="7" fillId="3" borderId="9" xfId="2" applyNumberFormat="1" applyBorder="1" applyAlignment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439696"/>
          <a:ext cx="50716" cy="33599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431"/>
          <a:ext cx="6682154" cy="133417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23</xdr:row>
      <xdr:rowOff>35608</xdr:rowOff>
    </xdr:from>
    <xdr:to>
      <xdr:col>7</xdr:col>
      <xdr:colOff>1050524</xdr:colOff>
      <xdr:row>33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32</xdr:row>
      <xdr:rowOff>601411</xdr:rowOff>
    </xdr:from>
    <xdr:to>
      <xdr:col>4</xdr:col>
      <xdr:colOff>168596</xdr:colOff>
      <xdr:row>34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32</xdr:row>
      <xdr:rowOff>612567</xdr:rowOff>
    </xdr:from>
    <xdr:to>
      <xdr:col>7</xdr:col>
      <xdr:colOff>991200</xdr:colOff>
      <xdr:row>36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29</xdr:row>
      <xdr:rowOff>149553</xdr:rowOff>
    </xdr:from>
    <xdr:to>
      <xdr:col>4</xdr:col>
      <xdr:colOff>628779</xdr:colOff>
      <xdr:row>36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0" zoomScaleNormal="100" zoomScaleSheetLayoutView="112" zoomScalePageLayoutView="70" workbookViewId="0">
      <selection activeCell="D17" sqref="D17:F1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0"/>
      <c r="C1" s="20"/>
      <c r="D1" s="20"/>
      <c r="E1" s="20"/>
      <c r="F1" s="20"/>
      <c r="G1" s="20"/>
      <c r="H1" s="20"/>
    </row>
    <row r="6" spans="2:9">
      <c r="H6" s="8" t="s">
        <v>12</v>
      </c>
      <c r="I6" s="1"/>
    </row>
    <row r="7" spans="2:9">
      <c r="H7" s="28" t="s">
        <v>21</v>
      </c>
    </row>
    <row r="12" spans="2:9" ht="12.6" customHeight="1">
      <c r="B12" s="21" t="s">
        <v>14</v>
      </c>
      <c r="C12" s="21"/>
      <c r="D12" s="29" t="s">
        <v>25</v>
      </c>
      <c r="E12" s="22"/>
      <c r="F12" t="s">
        <v>11</v>
      </c>
      <c r="G12" s="19" t="s">
        <v>16</v>
      </c>
      <c r="H12" s="19"/>
    </row>
    <row r="13" spans="2:9" ht="14.4" customHeight="1">
      <c r="B13" s="21" t="s">
        <v>0</v>
      </c>
      <c r="C13" s="21"/>
      <c r="D13" s="29" t="s">
        <v>26</v>
      </c>
      <c r="E13" s="22"/>
      <c r="F13" s="22"/>
      <c r="G13" s="22"/>
    </row>
    <row r="14" spans="2:9">
      <c r="B14" s="1" t="s">
        <v>1</v>
      </c>
      <c r="C14" s="1" t="s">
        <v>2</v>
      </c>
      <c r="D14" s="23" t="s">
        <v>3</v>
      </c>
      <c r="E14" s="23"/>
      <c r="F14" s="23" t="s">
        <v>10</v>
      </c>
      <c r="G14" s="23"/>
      <c r="H14" s="1" t="s">
        <v>13</v>
      </c>
    </row>
    <row r="15" spans="2:9">
      <c r="B15" s="2">
        <v>45745</v>
      </c>
      <c r="C15" s="1" t="s">
        <v>18</v>
      </c>
      <c r="D15" s="13"/>
      <c r="E15" s="14"/>
      <c r="F15" s="18"/>
      <c r="G15" s="19"/>
      <c r="H15" s="7"/>
    </row>
    <row r="16" spans="2:9" ht="15.6">
      <c r="B16" s="3" t="s">
        <v>4</v>
      </c>
      <c r="C16" s="3" t="s">
        <v>8</v>
      </c>
      <c r="D16" s="15" t="s">
        <v>5</v>
      </c>
      <c r="E16" s="15"/>
      <c r="F16" s="15"/>
      <c r="G16" s="3" t="s">
        <v>6</v>
      </c>
      <c r="H16" s="12" t="s">
        <v>7</v>
      </c>
    </row>
    <row r="17" spans="2:8">
      <c r="B17" s="4">
        <v>1</v>
      </c>
      <c r="C17" s="4">
        <v>1</v>
      </c>
      <c r="D17" s="16" t="s">
        <v>22</v>
      </c>
      <c r="E17" s="17"/>
      <c r="F17" s="17"/>
      <c r="G17" s="30">
        <v>35000</v>
      </c>
      <c r="H17" s="33">
        <f>B17*G17*C17</f>
        <v>35000</v>
      </c>
    </row>
    <row r="18" spans="2:8">
      <c r="B18" s="4">
        <v>1</v>
      </c>
      <c r="C18" s="6">
        <v>1</v>
      </c>
      <c r="D18" s="16" t="s">
        <v>24</v>
      </c>
      <c r="E18" s="17"/>
      <c r="F18" s="17"/>
      <c r="G18" s="31"/>
      <c r="H18" s="33"/>
    </row>
    <row r="19" spans="2:8">
      <c r="B19" s="4">
        <v>1</v>
      </c>
      <c r="C19" s="6">
        <v>1</v>
      </c>
      <c r="D19" s="16" t="s">
        <v>27</v>
      </c>
      <c r="E19" s="17"/>
      <c r="F19" s="17"/>
      <c r="G19" s="31"/>
      <c r="H19" s="33"/>
    </row>
    <row r="20" spans="2:8">
      <c r="B20" s="4">
        <v>4</v>
      </c>
      <c r="C20" s="6">
        <v>1</v>
      </c>
      <c r="D20" s="16" t="s">
        <v>23</v>
      </c>
      <c r="E20" s="17"/>
      <c r="F20" s="17"/>
      <c r="G20" s="31"/>
      <c r="H20" s="33"/>
    </row>
    <row r="21" spans="2:8">
      <c r="B21" s="4">
        <v>2</v>
      </c>
      <c r="C21" s="6">
        <v>1</v>
      </c>
      <c r="D21" s="16" t="s">
        <v>19</v>
      </c>
      <c r="E21" s="17"/>
      <c r="F21" s="17"/>
      <c r="G21" s="31"/>
      <c r="H21" s="33"/>
    </row>
    <row r="22" spans="2:8">
      <c r="B22" s="6">
        <v>2</v>
      </c>
      <c r="C22" s="6">
        <v>1</v>
      </c>
      <c r="D22" s="16" t="s">
        <v>20</v>
      </c>
      <c r="E22" s="17"/>
      <c r="F22" s="17"/>
      <c r="G22" s="31"/>
      <c r="H22" s="33"/>
    </row>
    <row r="23" spans="2:8">
      <c r="B23" s="4">
        <v>8</v>
      </c>
      <c r="C23" s="6">
        <v>1</v>
      </c>
      <c r="D23" s="24" t="s">
        <v>17</v>
      </c>
      <c r="E23" s="25"/>
      <c r="F23" s="26"/>
      <c r="G23" s="32"/>
      <c r="H23" s="34"/>
    </row>
    <row r="24" spans="2:8">
      <c r="D24" s="27"/>
      <c r="E24" s="27"/>
      <c r="F24" s="27"/>
      <c r="G24" s="9" t="s">
        <v>9</v>
      </c>
      <c r="H24" s="10">
        <f>SUM(H17:H23)</f>
        <v>35000</v>
      </c>
    </row>
    <row r="25" spans="2:8">
      <c r="G25" s="9" t="s">
        <v>15</v>
      </c>
      <c r="H25" s="11">
        <f>H24*0.15</f>
        <v>5250</v>
      </c>
    </row>
    <row r="26" spans="2:8">
      <c r="G26" s="9" t="s">
        <v>9</v>
      </c>
      <c r="H26" s="11">
        <f>H25+H24</f>
        <v>40250</v>
      </c>
    </row>
    <row r="33" spans="2:8" ht="62.4" customHeight="1"/>
    <row r="35" spans="2:8" ht="27.6" customHeight="1"/>
    <row r="36" spans="2:8" ht="5.4" customHeight="1">
      <c r="B36" s="5"/>
      <c r="C36" s="5"/>
      <c r="D36" s="5"/>
      <c r="E36" s="5"/>
      <c r="F36" s="5"/>
      <c r="G36" s="5"/>
      <c r="H36" s="5"/>
    </row>
    <row r="38" spans="2:8" ht="25.2" customHeight="1"/>
    <row r="45" spans="2:8" ht="21" customHeight="1"/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21">
    <mergeCell ref="H17:H23"/>
    <mergeCell ref="D19:F19"/>
    <mergeCell ref="D24:F24"/>
    <mergeCell ref="D23:F23"/>
    <mergeCell ref="D22:F22"/>
    <mergeCell ref="D20:F20"/>
    <mergeCell ref="D21:F21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  <mergeCell ref="G17:G2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2025-03-29T23:59:39Z</cp:lastPrinted>
  <dcterms:created xsi:type="dcterms:W3CDTF">2022-10-19T19:05:00Z</dcterms:created>
  <dcterms:modified xsi:type="dcterms:W3CDTF">2025-04-01T21:03:56Z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