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4AE0980-D598-40D4-A7C6-E6987BC8F2F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 s="1"/>
  <c r="H31" i="1" s="1"/>
</calcChain>
</file>

<file path=xl/sharedStrings.xml><?xml version="1.0" encoding="utf-8"?>
<sst xmlns="http://schemas.openxmlformats.org/spreadsheetml/2006/main" count="37" uniqueCount="37">
  <si>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</si>
  <si>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</si>
  <si>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</si>
  <si>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</si>
  <si>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</si>
  <si>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</si>
  <si>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</si>
  <si>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</si>
  <si>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</si>
  <si>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</si>
  <si>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</si>
  <si>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</si>
  <si>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</si>
  <si>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</si>
  <si>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</si>
  <si>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</si>
  <si>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</si>
  <si>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</si>
  <si>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>Hondueventos HN</t>
  </si>
  <si>
    <t xml:space="preserve">Hotel Clarion TGU </t>
  </si>
  <si>
    <t>20 de Julio 2024</t>
  </si>
  <si>
    <t>2023-9031</t>
  </si>
  <si>
    <t>9 de sep 2023</t>
  </si>
  <si>
    <t xml:space="preserve">Boda </t>
  </si>
  <si>
    <t>5 horas</t>
  </si>
  <si>
    <t>Parlantes medios dobles JBL PRX 825</t>
  </si>
  <si>
    <t xml:space="preserve">Bajos dobbles </t>
  </si>
  <si>
    <t>Luces roboticas 230w 7r</t>
  </si>
  <si>
    <t xml:space="preserve">Luces miniroboticas </t>
  </si>
  <si>
    <t xml:space="preserve">Consola de audio con microfonos </t>
  </si>
  <si>
    <t xml:space="preserve">Controlador de luces </t>
  </si>
  <si>
    <t xml:space="preserve">Pirotecnias Frias cortesia </t>
  </si>
  <si>
    <t xml:space="preserve">Maquina de humo cortesia </t>
  </si>
  <si>
    <t xml:space="preserve">Montaje de texturas 3D </t>
  </si>
  <si>
    <t xml:space="preserve">Luces led para el salon </t>
  </si>
  <si>
    <t xml:space="preserve">Pista de baile </t>
  </si>
  <si>
    <t xml:space="preserve">DJ Profesional con musica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</si>
</sst>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2" fillId="3" borderId="7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7" fillId="3" borderId="3" xfId="3" applyBorder="1" applyAlignment="1">
      <alignment horizontal="left"/>
    </xf>
    <xf numFmtId="0" fontId="2" fillId="3" borderId="7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7" fillId="3" borderId="3" xfId="3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9" fillId="0" borderId="0" xfId="0" applyNumberFormat="1" applyFont="1" applyAlignment="1">
      <alignment horizontal="center"/>
    </xf>
    <xf numFmtId="17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3" xfId="3" applyFont="1" applyBorder="1" applyAlignment="1">
      <alignment horizontal="left"/>
    </xf>
    <xf numFmtId="0" fontId="1" fillId="3" borderId="6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top"/>
    </xf>
    <xf numFmtId="0" fontId="1" fillId="3" borderId="7" xfId="3" applyFont="1" applyBorder="1" applyAlignment="1">
      <alignment horizontal="left" vertical="top"/>
    </xf>
    <xf numFmtId="0" fontId="1" fillId="3" borderId="4" xfId="3" applyFont="1" applyBorder="1" applyAlignment="1">
      <alignment horizontal="left" vertical="top"/>
    </xf>
    <xf numFmtId="0" fontId="9" fillId="0" borderId="1" xfId="0" applyFont="1" applyBorder="1" applyAlignment="1">
      <alignment horizontal="center"/>
    </xf>
    <xf numFmtId="164" fontId="7" fillId="3" borderId="9" xfId="3" applyNumberFormat="1" applyBorder="1" applyAlignment="1">
      <alignment horizontal="center" vertical="center"/>
    </xf>
    <xf numFmtId="164" fontId="7" fillId="3" borderId="10" xfId="3" applyNumberFormat="1" applyBorder="1" applyAlignment="1">
      <alignment horizontal="center" vertical="center"/>
    </xf>
    <xf numFmtId="164" fontId="7" fillId="3" borderId="11" xfId="3" applyNumberFormat="1" applyBorder="1" applyAlignment="1">
      <alignment horizontal="center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1526" y="6690193"/>
          <a:ext cx="50716" cy="3332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070"/>
          <a:ext cx="6763797" cy="13246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145916</xdr:colOff>
      <xdr:row>28</xdr:row>
      <xdr:rowOff>115661</xdr:rowOff>
    </xdr:from>
    <xdr:to>
      <xdr:col>7</xdr:col>
      <xdr:colOff>1087716</xdr:colOff>
      <xdr:row>39</xdr:row>
      <xdr:rowOff>52423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45916" y="5252357"/>
          <a:ext cx="6738443" cy="1957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39</xdr:row>
      <xdr:rowOff>371475</xdr:rowOff>
    </xdr:from>
    <xdr:to>
      <xdr:col>4</xdr:col>
      <xdr:colOff>138248</xdr:colOff>
      <xdr:row>45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39</xdr:row>
      <xdr:rowOff>389164</xdr:rowOff>
    </xdr:from>
    <xdr:to>
      <xdr:col>7</xdr:col>
      <xdr:colOff>914037</xdr:colOff>
      <xdr:row>42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37</xdr:row>
      <xdr:rowOff>31476</xdr:rowOff>
    </xdr:from>
    <xdr:to>
      <xdr:col>4</xdr:col>
      <xdr:colOff>347602</xdr:colOff>
      <xdr:row>43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tabSelected="1" view="pageBreakPreview" topLeftCell="A9" zoomScale="112" zoomScaleNormal="100" zoomScaleSheetLayoutView="112" zoomScalePageLayoutView="34" workbookViewId="0">
      <selection activeCell="I7" sqref="I7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13" t="s">
        <v>13</v>
      </c>
      <c r="I6" s="1"/>
    </row>
    <row r="7" spans="2:9">
      <c r="H7" s="29" t="s">
        <v>21</v>
      </c>
    </row>
    <row r="12" spans="2:9" ht="12.6" customHeight="1">
      <c r="B12" s="25" t="s">
        <v>0</v>
      </c>
      <c r="C12" s="25"/>
      <c r="D12" s="30" t="s">
        <v>18</v>
      </c>
      <c r="E12" s="26"/>
      <c r="F12" t="s">
        <v>12</v>
      </c>
      <c r="G12" s="23" t="s">
        <v>14</v>
      </c>
      <c r="H12" s="23"/>
    </row>
    <row r="13" spans="2:9" ht="14.4" customHeight="1">
      <c r="B13" s="25" t="s">
        <v>1</v>
      </c>
      <c r="C13" s="25"/>
      <c r="D13" s="30" t="s">
        <v>19</v>
      </c>
      <c r="E13" s="26"/>
      <c r="F13" s="26"/>
      <c r="G13" s="26"/>
    </row>
    <row r="14" spans="2:9">
      <c r="B14" s="1" t="s">
        <v>2</v>
      </c>
      <c r="C14" s="1" t="s">
        <v>3</v>
      </c>
      <c r="D14" s="21" t="s">
        <v>4</v>
      </c>
      <c r="E14" s="21"/>
      <c r="F14" s="21" t="s">
        <v>11</v>
      </c>
      <c r="G14" s="21"/>
      <c r="H14" s="1" t="s">
        <v>17</v>
      </c>
    </row>
    <row r="15" spans="2:9">
      <c r="B15" s="31" t="s">
        <v>22</v>
      </c>
      <c r="C15" s="34" t="s">
        <v>24</v>
      </c>
      <c r="D15" s="32" t="s">
        <v>20</v>
      </c>
      <c r="E15" s="33"/>
      <c r="F15" s="42" t="s">
        <v>23</v>
      </c>
      <c r="G15" s="42"/>
      <c r="H15" s="12">
        <v>150</v>
      </c>
    </row>
    <row r="16" spans="2:9" ht="15.6">
      <c r="B16" s="2" t="s">
        <v>5</v>
      </c>
      <c r="C16" s="2" t="s">
        <v>9</v>
      </c>
      <c r="D16" s="22" t="s">
        <v>6</v>
      </c>
      <c r="E16" s="22"/>
      <c r="F16" s="22"/>
      <c r="G16" s="2" t="s">
        <v>7</v>
      </c>
      <c r="H16" s="2" t="s">
        <v>8</v>
      </c>
    </row>
    <row r="17" spans="2:8">
      <c r="B17" s="3">
        <v>2</v>
      </c>
      <c r="C17" s="3">
        <v>1</v>
      </c>
      <c r="D17" s="35" t="s">
        <v>25</v>
      </c>
      <c r="E17" s="17"/>
      <c r="F17" s="17"/>
      <c r="G17" s="4"/>
      <c r="H17" s="43">
        <v>10000</v>
      </c>
    </row>
    <row r="18" spans="2:8">
      <c r="B18" s="3">
        <v>2</v>
      </c>
      <c r="C18" s="8">
        <v>1</v>
      </c>
      <c r="D18" s="35" t="s">
        <v>26</v>
      </c>
      <c r="E18" s="17"/>
      <c r="F18" s="17"/>
      <c r="G18" s="14"/>
      <c r="H18" s="44"/>
    </row>
    <row r="19" spans="2:8">
      <c r="B19" s="3">
        <v>2</v>
      </c>
      <c r="C19" s="8">
        <v>1</v>
      </c>
      <c r="D19" s="36" t="s">
        <v>27</v>
      </c>
      <c r="E19" s="18"/>
      <c r="F19" s="19"/>
      <c r="G19" s="4"/>
      <c r="H19" s="44"/>
    </row>
    <row r="20" spans="2:8">
      <c r="B20" s="3">
        <v>3</v>
      </c>
      <c r="C20" s="8">
        <v>1</v>
      </c>
      <c r="D20" s="37" t="s">
        <v>28</v>
      </c>
      <c r="E20" s="20"/>
      <c r="F20" s="20"/>
      <c r="G20" s="4"/>
      <c r="H20" s="44"/>
    </row>
    <row r="21" spans="2:8">
      <c r="B21" s="3">
        <v>1</v>
      </c>
      <c r="C21" s="8">
        <v>1</v>
      </c>
      <c r="D21" s="37" t="s">
        <v>29</v>
      </c>
      <c r="E21" s="20"/>
      <c r="F21" s="20"/>
      <c r="G21" s="4"/>
      <c r="H21" s="44"/>
    </row>
    <row r="22" spans="2:8">
      <c r="B22" s="3">
        <v>1</v>
      </c>
      <c r="C22" s="8">
        <v>1</v>
      </c>
      <c r="D22" s="37" t="s">
        <v>30</v>
      </c>
      <c r="E22" s="20"/>
      <c r="F22" s="20"/>
      <c r="G22" s="4"/>
      <c r="H22" s="44"/>
    </row>
    <row r="23" spans="2:8">
      <c r="B23" s="3">
        <v>2</v>
      </c>
      <c r="C23" s="8">
        <v>1</v>
      </c>
      <c r="D23" s="37" t="s">
        <v>31</v>
      </c>
      <c r="E23" s="20"/>
      <c r="F23" s="20"/>
      <c r="G23" s="4"/>
      <c r="H23" s="44"/>
    </row>
    <row r="24" spans="2:8">
      <c r="B24" s="3">
        <v>1</v>
      </c>
      <c r="C24" s="8">
        <v>1</v>
      </c>
      <c r="D24" s="38" t="s">
        <v>32</v>
      </c>
      <c r="E24" s="15"/>
      <c r="F24" s="16"/>
      <c r="G24" s="4"/>
      <c r="H24" s="44"/>
    </row>
    <row r="25" spans="2:8">
      <c r="B25" s="3">
        <v>1</v>
      </c>
      <c r="C25" s="8">
        <v>1</v>
      </c>
      <c r="D25" s="35" t="s">
        <v>33</v>
      </c>
      <c r="E25" s="17"/>
      <c r="F25" s="17"/>
      <c r="G25" s="4"/>
      <c r="H25" s="44"/>
    </row>
    <row r="26" spans="2:8">
      <c r="B26" s="3">
        <v>1</v>
      </c>
      <c r="C26" s="8">
        <v>1</v>
      </c>
      <c r="D26" s="39" t="s">
        <v>36</v>
      </c>
      <c r="E26" s="40"/>
      <c r="F26" s="41"/>
      <c r="G26" s="4"/>
      <c r="H26" s="45"/>
    </row>
    <row r="27" spans="2:8">
      <c r="B27" s="3">
        <v>1</v>
      </c>
      <c r="C27" s="8">
        <v>1</v>
      </c>
      <c r="D27" s="39" t="s">
        <v>35</v>
      </c>
      <c r="E27" s="40"/>
      <c r="F27" s="41"/>
      <c r="G27" s="4"/>
      <c r="H27" s="7">
        <v>5950</v>
      </c>
    </row>
    <row r="28" spans="2:8">
      <c r="B28" s="3">
        <v>12</v>
      </c>
      <c r="C28" s="8">
        <v>1</v>
      </c>
      <c r="D28" s="38" t="s">
        <v>34</v>
      </c>
      <c r="E28" s="15"/>
      <c r="F28" s="16"/>
      <c r="G28" s="4">
        <v>0</v>
      </c>
      <c r="H28" s="7"/>
    </row>
    <row r="29" spans="2:8">
      <c r="D29" s="27"/>
      <c r="E29" s="27"/>
      <c r="F29" s="27"/>
      <c r="G29" s="9" t="s">
        <v>10</v>
      </c>
      <c r="H29" s="5">
        <f>SUM(H17:H28)</f>
        <v>15950</v>
      </c>
    </row>
    <row r="30" spans="2:8">
      <c r="D30" s="28"/>
      <c r="E30" s="28"/>
      <c r="F30" s="28"/>
      <c r="G30" s="9" t="s">
        <v>15</v>
      </c>
      <c r="H30" s="10">
        <f>H29*0.15</f>
        <v>2392.5</v>
      </c>
    </row>
    <row r="31" spans="2:8">
      <c r="D31" s="28"/>
      <c r="E31" s="28"/>
      <c r="F31" s="28"/>
      <c r="G31" s="9" t="s">
        <v>16</v>
      </c>
      <c r="H31" s="11">
        <f>H29+H30</f>
        <v>18342.5</v>
      </c>
    </row>
    <row r="40" spans="2:8" ht="52.2" customHeight="1"/>
    <row r="43" spans="2:8">
      <c r="B43" s="6"/>
      <c r="C43" s="6"/>
      <c r="D43" s="6"/>
      <c r="E43" s="6"/>
      <c r="F43" s="6"/>
      <c r="G43" s="6"/>
      <c r="H43" s="6"/>
    </row>
    <row r="49" ht="27.6" customHeight="1"/>
    <row r="50" ht="5.4" customHeight="1"/>
    <row r="52" ht="25.2" customHeight="1"/>
    <row r="59" ht="21" customHeight="1"/>
    <row r="61" ht="1.95" customHeight="1"/>
    <row r="62" ht="7.95" customHeight="1"/>
    <row r="63" ht="16.05" customHeight="1"/>
    <row r="65" ht="6" customHeight="1"/>
    <row r="66" ht="9.75" customHeight="1"/>
  </sheetData>
  <mergeCells count="27">
    <mergeCell ref="H17:H26"/>
    <mergeCell ref="D26:F26"/>
    <mergeCell ref="D29:F29"/>
    <mergeCell ref="D30:F30"/>
    <mergeCell ref="D31:F31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2024-08-02T16:39:51Z</cp:lastPrinted>
  <dcterms:created xsi:type="dcterms:W3CDTF">2022-10-19T19:05:00Z</dcterms:created>
  <dcterms:modified xsi:type="dcterms:W3CDTF">2024-08-12T18:13:35Z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