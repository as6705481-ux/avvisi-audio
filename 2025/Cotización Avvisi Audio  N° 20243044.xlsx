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094EE11F-6B87-422A-85B6-62F9A3EE32F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21" i="1"/>
  <c r="H18" i="1"/>
  <c r="H17" i="1"/>
  <c r="H22" i="1" l="1"/>
  <c r="H23" i="1" l="1"/>
  <c r="H24" i="1" s="1"/>
</calcChain>
</file>

<file path=xl/sharedStrings.xml><?xml version="1.0" encoding="utf-8"?>
<sst xmlns="http://schemas.openxmlformats.org/spreadsheetml/2006/main" count="28" uniqueCount="28">
  <si>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</si>
  <si>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</si>
  <si>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</si>
  <si>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</si>
  <si>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</si>
  <si>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</si>
  <si>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</si>
  <si>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</si>
  <si>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</si>
  <si>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</si>
  <si>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</si>
  <si>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</si>
  <si>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</si>
  <si>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</si>
  <si>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</si>
  <si>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</si>
  <si>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</si>
  <si>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</si>
  <si>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No definido </t>
  </si>
  <si>
    <t>2024-3044</t>
  </si>
  <si>
    <t>Cromos</t>
  </si>
  <si>
    <t>4 de septiembre</t>
  </si>
  <si>
    <t>Galerias, Tegucigalpa</t>
  </si>
  <si>
    <t xml:space="preserve">Microfonos Inalambricos </t>
  </si>
  <si>
    <t xml:space="preserve">Dj Profesional con tornamesa </t>
  </si>
  <si>
    <t>Parlantes de barra</t>
  </si>
  <si>
    <t>DJ Booth led 2 x 1 metroa</t>
  </si>
  <si>
    <t xml:space="preserve">Pantalla led P 3.91 3 x2 metros en truss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</si>
</sst>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7" fillId="4" borderId="5" applyNumberFormat="0" applyAlignment="0" applyProtection="0"/>
    <xf numFmtId="0" fontId="8" fillId="5" borderId="0" applyNumberFormat="0" applyBorder="0" applyAlignment="0" applyProtection="0"/>
    <xf numFmtId="0" fontId="9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9" fillId="3" borderId="3" xfId="3" applyBorder="1" applyAlignment="1">
      <alignment horizontal="center"/>
    </xf>
    <xf numFmtId="164" fontId="9" fillId="3" borderId="3" xfId="3" applyNumberFormat="1" applyBorder="1"/>
    <xf numFmtId="164" fontId="7" fillId="2" borderId="3" xfId="3" applyNumberFormat="1" applyFont="1" applyFill="1" applyBorder="1"/>
    <xf numFmtId="0" fontId="0" fillId="2" borderId="0" xfId="0" applyFill="1" applyAlignment="1">
      <alignment horizontal="center"/>
    </xf>
    <xf numFmtId="0" fontId="0" fillId="3" borderId="3" xfId="3" applyFont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164" fontId="10" fillId="2" borderId="3" xfId="3" applyNumberFormat="1" applyFont="1" applyFill="1" applyBorder="1"/>
    <xf numFmtId="164" fontId="10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0" fillId="3" borderId="3" xfId="3" applyNumberFormat="1" applyFont="1" applyBorder="1"/>
    <xf numFmtId="0" fontId="3" fillId="0" borderId="8" xfId="0" applyFont="1" applyBorder="1" applyAlignment="1">
      <alignment horizontal="center"/>
    </xf>
    <xf numFmtId="164" fontId="9" fillId="3" borderId="3" xfId="3" applyNumberFormat="1" applyBorder="1" applyAlignment="1">
      <alignment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9" fillId="3" borderId="3" xfId="3" applyBorder="1" applyAlignment="1">
      <alignment horizontal="left"/>
    </xf>
    <xf numFmtId="0" fontId="9" fillId="3" borderId="3" xfId="3" applyBorder="1" applyAlignment="1">
      <alignment horizontal="left" vertical="center"/>
    </xf>
    <xf numFmtId="17" fontId="3" fillId="0" borderId="2" xfId="0" applyNumberFormat="1" applyFont="1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2" xfId="0" applyBorder="1"/>
    <xf numFmtId="0" fontId="2" fillId="3" borderId="7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1" fillId="3" borderId="6" xfId="3" applyFont="1" applyBorder="1" applyAlignment="1">
      <alignment horizontal="left" vertical="center"/>
    </xf>
    <xf numFmtId="0" fontId="1" fillId="3" borderId="3" xfId="3" applyFont="1" applyBorder="1" applyAlignment="1">
      <alignment horizontal="left" vertical="center"/>
    </xf>
    <xf numFmtId="0" fontId="1" fillId="3" borderId="3" xfId="3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29</xdr:row>
      <xdr:rowOff>83925</xdr:rowOff>
    </xdr:from>
    <xdr:to>
      <xdr:col>1</xdr:col>
      <xdr:colOff>113617</xdr:colOff>
      <xdr:row>31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91526" y="5404318"/>
          <a:ext cx="50716" cy="33327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070"/>
          <a:ext cx="6763797" cy="132464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111899</xdr:colOff>
      <xdr:row>21</xdr:row>
      <xdr:rowOff>13608</xdr:rowOff>
    </xdr:from>
    <xdr:to>
      <xdr:col>7</xdr:col>
      <xdr:colOff>1053699</xdr:colOff>
      <xdr:row>32</xdr:row>
      <xdr:rowOff>18405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11899" y="3680733"/>
          <a:ext cx="6738443" cy="2025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90623</xdr:colOff>
      <xdr:row>32</xdr:row>
      <xdr:rowOff>371475</xdr:rowOff>
    </xdr:from>
    <xdr:to>
      <xdr:col>4</xdr:col>
      <xdr:colOff>138248</xdr:colOff>
      <xdr:row>38</xdr:row>
      <xdr:rowOff>175713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19248" y="7161439"/>
          <a:ext cx="2313214" cy="1382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761637</xdr:colOff>
      <xdr:row>32</xdr:row>
      <xdr:rowOff>389164</xdr:rowOff>
    </xdr:from>
    <xdr:to>
      <xdr:col>7</xdr:col>
      <xdr:colOff>914037</xdr:colOff>
      <xdr:row>35</xdr:row>
      <xdr:rowOff>61231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455851" y="7179128"/>
          <a:ext cx="3254829" cy="699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Cliente</a:t>
          </a:r>
        </a:p>
      </xdr:txBody>
    </xdr:sp>
    <xdr:clientData/>
  </xdr:twoCellAnchor>
  <xdr:twoCellAnchor editAs="oneCell">
    <xdr:from>
      <xdr:col>1</xdr:col>
      <xdr:colOff>115662</xdr:colOff>
      <xdr:row>30</xdr:row>
      <xdr:rowOff>31476</xdr:rowOff>
    </xdr:from>
    <xdr:to>
      <xdr:col>4</xdr:col>
      <xdr:colOff>347602</xdr:colOff>
      <xdr:row>36</xdr:row>
      <xdr:rowOff>32781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7F88375-528B-2BD7-2E26-E31BDBC53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25629">
          <a:off x="544287" y="6454047"/>
          <a:ext cx="2497529" cy="1579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BreakPreview" zoomScale="112" zoomScaleNormal="100" zoomScaleSheetLayoutView="112" zoomScalePageLayoutView="34" workbookViewId="0">
      <selection activeCell="D17" sqref="D17:F17"/>
    </sheetView>
  </sheetViews>
  <sheetFormatPr baseColWidth="10" defaultColWidth="11" defaultRowHeight="14.4"/>
  <cols>
    <col min="1" max="1" width="6.218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18"/>
      <c r="C1" s="18"/>
      <c r="D1" s="18"/>
      <c r="E1" s="18"/>
      <c r="F1" s="18"/>
      <c r="G1" s="18"/>
      <c r="H1" s="18"/>
    </row>
    <row r="6" spans="2:9">
      <c r="H6" s="13" t="s">
        <v>13</v>
      </c>
      <c r="I6" s="1"/>
    </row>
    <row r="7" spans="2:9">
      <c r="H7" s="15" t="s">
        <v>19</v>
      </c>
    </row>
    <row r="12" spans="2:9" ht="12.6" customHeight="1">
      <c r="B12" s="19" t="s">
        <v>0</v>
      </c>
      <c r="C12" s="19"/>
      <c r="D12" s="20" t="s">
        <v>20</v>
      </c>
      <c r="E12" s="21"/>
      <c r="F12" t="s">
        <v>12</v>
      </c>
      <c r="G12" s="23" t="s">
        <v>14</v>
      </c>
      <c r="H12" s="23"/>
    </row>
    <row r="13" spans="2:9" ht="14.4" customHeight="1">
      <c r="B13" s="19" t="s">
        <v>1</v>
      </c>
      <c r="C13" s="19"/>
      <c r="D13" s="20" t="s">
        <v>22</v>
      </c>
      <c r="E13" s="21"/>
      <c r="F13" s="21"/>
      <c r="G13" s="21"/>
    </row>
    <row r="14" spans="2:9">
      <c r="B14" s="1" t="s">
        <v>2</v>
      </c>
      <c r="C14" s="1" t="s">
        <v>3</v>
      </c>
      <c r="D14" s="22" t="s">
        <v>4</v>
      </c>
      <c r="E14" s="22"/>
      <c r="F14" s="22" t="s">
        <v>11</v>
      </c>
      <c r="G14" s="22"/>
      <c r="H14" s="1" t="s">
        <v>17</v>
      </c>
    </row>
    <row r="15" spans="2:9">
      <c r="B15" s="2">
        <v>45524</v>
      </c>
      <c r="C15" s="1"/>
      <c r="D15" s="26" t="s">
        <v>21</v>
      </c>
      <c r="E15" s="22"/>
      <c r="F15" s="29"/>
      <c r="G15" s="23"/>
      <c r="H15" s="12" t="s">
        <v>18</v>
      </c>
    </row>
    <row r="16" spans="2:9" ht="15.6">
      <c r="B16" s="3" t="s">
        <v>5</v>
      </c>
      <c r="C16" s="3" t="s">
        <v>9</v>
      </c>
      <c r="D16" s="27" t="s">
        <v>6</v>
      </c>
      <c r="E16" s="27"/>
      <c r="F16" s="27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28" t="s">
        <v>27</v>
      </c>
      <c r="E17" s="24"/>
      <c r="F17" s="24"/>
      <c r="G17" s="5">
        <v>9000</v>
      </c>
      <c r="H17" s="16">
        <f>G17</f>
        <v>9000</v>
      </c>
    </row>
    <row r="18" spans="2:8">
      <c r="B18" s="4">
        <v>2</v>
      </c>
      <c r="C18" s="8">
        <v>1</v>
      </c>
      <c r="D18" s="35" t="s">
        <v>25</v>
      </c>
      <c r="E18" s="24"/>
      <c r="F18" s="24"/>
      <c r="G18" s="14">
        <v>1500</v>
      </c>
      <c r="H18" s="16">
        <f>G18*B18</f>
        <v>3000</v>
      </c>
    </row>
    <row r="19" spans="2:8">
      <c r="B19" s="4">
        <v>1</v>
      </c>
      <c r="C19" s="8">
        <v>1</v>
      </c>
      <c r="D19" s="33" t="s">
        <v>24</v>
      </c>
      <c r="E19" s="31"/>
      <c r="F19" s="32"/>
      <c r="G19" s="5">
        <v>3500</v>
      </c>
      <c r="H19" s="16">
        <f>G19</f>
        <v>3500</v>
      </c>
    </row>
    <row r="20" spans="2:8">
      <c r="B20" s="4">
        <v>1</v>
      </c>
      <c r="C20" s="8">
        <v>1</v>
      </c>
      <c r="D20" s="33" t="s">
        <v>26</v>
      </c>
      <c r="E20" s="31"/>
      <c r="F20" s="32"/>
      <c r="G20" s="5">
        <v>3500</v>
      </c>
      <c r="H20" s="16">
        <f t="shared" ref="H20:H21" si="0">G20</f>
        <v>3500</v>
      </c>
    </row>
    <row r="21" spans="2:8">
      <c r="B21" s="4">
        <v>2</v>
      </c>
      <c r="C21" s="8">
        <v>1</v>
      </c>
      <c r="D21" s="34" t="s">
        <v>23</v>
      </c>
      <c r="E21" s="25"/>
      <c r="F21" s="25"/>
      <c r="G21" s="5">
        <v>0</v>
      </c>
      <c r="H21" s="16">
        <f t="shared" si="0"/>
        <v>0</v>
      </c>
    </row>
    <row r="22" spans="2:8">
      <c r="D22" s="30"/>
      <c r="E22" s="30"/>
      <c r="F22" s="30"/>
      <c r="G22" s="9" t="s">
        <v>10</v>
      </c>
      <c r="H22" s="6">
        <f>SUM(H17:H21)</f>
        <v>19000</v>
      </c>
    </row>
    <row r="23" spans="2:8">
      <c r="D23" s="17"/>
      <c r="E23" s="17"/>
      <c r="F23" s="17"/>
      <c r="G23" s="9" t="s">
        <v>15</v>
      </c>
      <c r="H23" s="10">
        <f>H22*0.15</f>
        <v>2850</v>
      </c>
    </row>
    <row r="24" spans="2:8">
      <c r="D24" s="17"/>
      <c r="E24" s="17"/>
      <c r="F24" s="17"/>
      <c r="G24" s="9" t="s">
        <v>16</v>
      </c>
      <c r="H24" s="11">
        <f>H22+H23</f>
        <v>21850</v>
      </c>
    </row>
    <row r="33" spans="2:8" ht="52.2" customHeight="1"/>
    <row r="36" spans="2:8">
      <c r="B36" s="7"/>
      <c r="C36" s="7"/>
      <c r="D36" s="7"/>
      <c r="E36" s="7"/>
      <c r="F36" s="7"/>
      <c r="G36" s="7"/>
      <c r="H36" s="7"/>
    </row>
    <row r="42" spans="2:8" ht="27.6" customHeight="1"/>
    <row r="43" spans="2:8" ht="5.4" customHeight="1"/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19">
    <mergeCell ref="D22:F22"/>
    <mergeCell ref="D23:F23"/>
    <mergeCell ref="D20:F20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18:F18"/>
    <mergeCell ref="D19:F19"/>
    <mergeCell ref="D21:F21"/>
    <mergeCell ref="D15:E15"/>
    <mergeCell ref="D16:F16"/>
    <mergeCell ref="D17:F17"/>
    <mergeCell ref="F15:G15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2024-08-16T17:25:59Z</cp:lastPrinted>
  <dcterms:created xsi:type="dcterms:W3CDTF">2022-10-19T19:05:00Z</dcterms:created>
  <dcterms:modified xsi:type="dcterms:W3CDTF">2024-08-20T22:32:52Z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