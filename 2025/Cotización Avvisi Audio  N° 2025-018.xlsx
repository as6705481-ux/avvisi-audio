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BA778A6-3B53-4CEA-8EB0-F83B0B5DE183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17" i="1"/>
  <c r="H25" i="1" l="1"/>
  <c r="H26" i="1" s="1"/>
  <c r="H27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<sst xmlns="http://schemas.openxmlformats.org/spreadsheetml/2006/main" count="25" uniqueCount="24">
  <si>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</si>
  <si>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</si>
  <si>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</si>
  <si>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</si>
  <si>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</si>
  <si>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</si>
  <si>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</si>
  <si>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</si>
  <si>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</si>
  <si>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</si>
  <si>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</si>
  <si>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</si>
  <si>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</si>
  <si>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</si>
  <si>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</si>
  <si>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</si>
  <si>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</si>
  <si>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>2025-018</t>
  </si>
  <si>
    <t>Jhonny Trochez</t>
  </si>
  <si>
    <t xml:space="preserve">Tela / telamar </t>
  </si>
  <si>
    <t xml:space="preserve">Pantalla led 2 x 2 metros </t>
  </si>
  <si>
    <t xml:space="preserve">Persona de staff y montaje </t>
  </si>
  <si>
    <t xml:space="preserve">Transporte </t>
  </si>
  <si>
    <t xml:space="preserve">Evento de marca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</si>
</sst>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/>
    <xf numFmtId="0" fontId="6" fillId="3" borderId="3" xfId="2" applyBorder="1" applyAlignment="1">
      <alignment horizontal="center" vertical="center"/>
    </xf>
    <xf numFmtId="165" fontId="6" fillId="3" borderId="3" xfId="2" applyNumberFormat="1" applyBorder="1" applyAlignment="1"/>
    <xf numFmtId="0" fontId="0" fillId="0" borderId="2" xfId="0" applyBorder="1"/>
    <xf numFmtId="0" fontId="6" fillId="3" borderId="5" xfId="2" applyBorder="1" applyAlignment="1">
      <alignment horizontal="center"/>
    </xf>
    <xf numFmtId="0" fontId="6" fillId="3" borderId="6" xfId="2" applyBorder="1" applyAlignment="1">
      <alignment horizontal="center"/>
    </xf>
    <xf numFmtId="0" fontId="6" fillId="3" borderId="4" xfId="2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3" borderId="3" xfId="2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6</xdr:col>
      <xdr:colOff>783365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6" zoomScale="107" zoomScaleNormal="100" zoomScaleSheetLayoutView="112" zoomScalePageLayoutView="107" workbookViewId="0">
      <selection activeCell="D15" sqref="D15:E1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17"/>
      <c r="C1" s="17"/>
      <c r="D1" s="17"/>
      <c r="E1" s="17"/>
      <c r="F1" s="17"/>
      <c r="G1" s="17"/>
      <c r="H1" s="17"/>
    </row>
    <row r="6" spans="2:9">
      <c r="H6" s="6" t="s">
        <v>12</v>
      </c>
      <c r="I6" s="1"/>
    </row>
    <row r="7" spans="2:9">
      <c r="H7" s="28" t="s">
        <v>17</v>
      </c>
    </row>
    <row r="12" spans="2:9" ht="12.6" customHeight="1">
      <c r="B12" s="18" t="s">
        <v>14</v>
      </c>
      <c r="C12" s="18"/>
      <c r="D12" s="29" t="s">
        <v>18</v>
      </c>
      <c r="E12" s="19"/>
      <c r="F12" t="s">
        <v>11</v>
      </c>
      <c r="G12" s="21" t="s">
        <v>16</v>
      </c>
      <c r="H12" s="21"/>
    </row>
    <row r="13" spans="2:9" ht="14.4" customHeight="1">
      <c r="B13" s="18" t="s">
        <v>0</v>
      </c>
      <c r="C13" s="18"/>
      <c r="D13" s="29" t="s">
        <v>19</v>
      </c>
      <c r="E13" s="19"/>
      <c r="F13" s="19"/>
      <c r="G13" s="19"/>
    </row>
    <row r="14" spans="2:9">
      <c r="B14" s="1" t="s">
        <v>1</v>
      </c>
      <c r="C14" s="1" t="s">
        <v>2</v>
      </c>
      <c r="D14" s="20" t="s">
        <v>3</v>
      </c>
      <c r="E14" s="20"/>
      <c r="F14" s="20" t="s">
        <v>10</v>
      </c>
      <c r="G14" s="20"/>
      <c r="H14" s="1" t="s">
        <v>13</v>
      </c>
    </row>
    <row r="15" spans="2:9">
      <c r="B15" s="2">
        <v>45671</v>
      </c>
      <c r="C15" s="1"/>
      <c r="D15" s="22">
        <v>45710</v>
      </c>
      <c r="E15" s="23"/>
      <c r="F15" s="31" t="s">
        <v>23</v>
      </c>
      <c r="G15" s="21"/>
      <c r="H15" s="5"/>
    </row>
    <row r="16" spans="2:9" ht="15.6">
      <c r="B16" s="3" t="s">
        <v>4</v>
      </c>
      <c r="C16" s="3" t="s">
        <v>8</v>
      </c>
      <c r="D16" s="24" t="s">
        <v>5</v>
      </c>
      <c r="E16" s="24"/>
      <c r="F16" s="24"/>
      <c r="G16" s="3" t="s">
        <v>6</v>
      </c>
      <c r="H16" s="3" t="s">
        <v>7</v>
      </c>
    </row>
    <row r="17" spans="2:8">
      <c r="B17" s="11">
        <v>4</v>
      </c>
      <c r="C17" s="11">
        <v>1</v>
      </c>
      <c r="D17" s="25" t="s">
        <v>20</v>
      </c>
      <c r="E17" s="26"/>
      <c r="F17" s="27"/>
      <c r="G17" s="12">
        <v>9600</v>
      </c>
      <c r="H17" s="12">
        <f>G17*C17*B17</f>
        <v>38400</v>
      </c>
    </row>
    <row r="18" spans="2:8">
      <c r="B18" s="11">
        <v>3</v>
      </c>
      <c r="C18" s="11">
        <v>1</v>
      </c>
      <c r="D18" s="25" t="s">
        <v>21</v>
      </c>
      <c r="E18" s="26"/>
      <c r="F18" s="27"/>
      <c r="G18" s="12">
        <v>1000</v>
      </c>
      <c r="H18" s="12">
        <f t="shared" ref="H18:H24" si="0">G18*C18*B18</f>
        <v>3000</v>
      </c>
    </row>
    <row r="19" spans="2:8">
      <c r="B19" s="30">
        <v>1</v>
      </c>
      <c r="C19" s="30">
        <v>1</v>
      </c>
      <c r="D19" s="25" t="s">
        <v>22</v>
      </c>
      <c r="E19" s="26"/>
      <c r="F19" s="27"/>
      <c r="G19" s="12">
        <v>6000</v>
      </c>
      <c r="H19" s="12">
        <f t="shared" si="0"/>
        <v>6000</v>
      </c>
    </row>
    <row r="20" spans="2:8">
      <c r="B20" s="10"/>
      <c r="C20" s="10"/>
      <c r="D20" s="14"/>
      <c r="E20" s="15"/>
      <c r="F20" s="16"/>
      <c r="G20" s="12"/>
      <c r="H20" s="12">
        <f t="shared" si="0"/>
        <v>0</v>
      </c>
    </row>
    <row r="21" spans="2:8">
      <c r="B21" s="10"/>
      <c r="C21" s="10"/>
      <c r="D21" s="14"/>
      <c r="E21" s="15"/>
      <c r="F21" s="16"/>
      <c r="G21" s="12"/>
      <c r="H21" s="12">
        <f t="shared" si="0"/>
        <v>0</v>
      </c>
    </row>
    <row r="22" spans="2:8">
      <c r="B22" s="10"/>
      <c r="C22" s="10"/>
      <c r="D22" s="14"/>
      <c r="E22" s="15"/>
      <c r="F22" s="16"/>
      <c r="G22" s="12"/>
      <c r="H22" s="12">
        <f t="shared" si="0"/>
        <v>0</v>
      </c>
    </row>
    <row r="23" spans="2:8">
      <c r="B23" s="10"/>
      <c r="C23" s="10"/>
      <c r="D23" s="14"/>
      <c r="E23" s="15"/>
      <c r="F23" s="16"/>
      <c r="G23" s="12"/>
      <c r="H23" s="12">
        <f t="shared" si="0"/>
        <v>0</v>
      </c>
    </row>
    <row r="24" spans="2:8">
      <c r="B24" s="10"/>
      <c r="C24" s="10"/>
      <c r="D24" s="14"/>
      <c r="E24" s="15"/>
      <c r="F24" s="16"/>
      <c r="G24" s="12"/>
      <c r="H24" s="12">
        <f t="shared" si="0"/>
        <v>0</v>
      </c>
    </row>
    <row r="25" spans="2:8">
      <c r="D25" s="13"/>
      <c r="E25" s="13"/>
      <c r="F25" s="13"/>
      <c r="G25" s="7" t="s">
        <v>9</v>
      </c>
      <c r="H25" s="8">
        <f>SUM(H17:H24)</f>
        <v>47400</v>
      </c>
    </row>
    <row r="26" spans="2:8">
      <c r="G26" s="7" t="s">
        <v>15</v>
      </c>
      <c r="H26" s="9">
        <f>H25*0.15</f>
        <v>7110</v>
      </c>
    </row>
    <row r="27" spans="2:8">
      <c r="G27" s="7" t="s">
        <v>9</v>
      </c>
      <c r="H27" s="9">
        <f>H26+H25</f>
        <v>54510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0">
    <mergeCell ref="D20:F20"/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5:F25"/>
    <mergeCell ref="D24:F24"/>
    <mergeCell ref="D23:F23"/>
    <mergeCell ref="D21:F21"/>
    <mergeCell ref="D22:F22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2025-01-13T16:40:08Z</cp:lastPrinted>
  <dcterms:created xsi:type="dcterms:W3CDTF">2022-10-19T19:05:00Z</dcterms:created>
  <dcterms:modified xsi:type="dcterms:W3CDTF">2025-01-15T02:47:02Z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