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C50BDD15-2B66-442E-B1FB-579D8CEB348B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17" i="1"/>
  <c r="H30" i="1" l="1"/>
  <c r="H31" i="1" l="1"/>
  <c r="H32" i="1" s="1"/>
</calcChain>
</file>

<file path=xl/sharedStrings.xml><?xml version="1.0" encoding="utf-8"?>
<sst xmlns="http://schemas.openxmlformats.org/spreadsheetml/2006/main" count="35" uniqueCount="34">
  <si>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</si>
  <si>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</si>
  <si>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</si>
  <si>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</si>
  <si>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</si>
  <si>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</si>
  <si>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</si>
  <si>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</si>
  <si>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</si>
  <si>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</si>
  <si>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</si>
  <si>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</si>
  <si>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</si>
  <si>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</si>
  <si>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</si>
  <si>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</si>
  <si>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</si>
  <si>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</si>
  <si>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>LAPCO</t>
  </si>
  <si>
    <t xml:space="preserve">1 dia </t>
  </si>
  <si>
    <t xml:space="preserve">Evento de Marca </t>
  </si>
  <si>
    <t xml:space="preserve">Pantalla de 8 x 4 metros </t>
  </si>
  <si>
    <t xml:space="preserve">Laterales 1 x 4 metros </t>
  </si>
  <si>
    <t>Podio de acrilico con logo</t>
  </si>
  <si>
    <t>Microfono de mano shure SM58</t>
  </si>
  <si>
    <t xml:space="preserve">Tarima de 8 x 4 metros x 40 en negro </t>
  </si>
  <si>
    <t xml:space="preserve">Iluminacion led </t>
  </si>
  <si>
    <t xml:space="preserve">Audio Profesional JBL PRX 825 para 300 peronas </t>
  </si>
  <si>
    <t xml:space="preserve">Consola digital </t>
  </si>
  <si>
    <t xml:space="preserve">Microfono cuello de ganzo </t>
  </si>
  <si>
    <t>2025-186</t>
  </si>
  <si>
    <t xml:space="preserve">San Pedro </t>
  </si>
  <si>
    <t xml:space="preserve">Pantalla 2.5 x 2 metros </t>
  </si>
  <si>
    <t xml:space="preserve">12 de Agosto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</si>
</sst>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4" zoomScale="110" zoomScaleNormal="110" zoomScaleSheetLayoutView="112" zoomScalePageLayoutView="107" workbookViewId="0">
      <selection activeCell="D19" sqref="D19:F19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8" t="s">
        <v>12</v>
      </c>
      <c r="I6" s="1"/>
    </row>
    <row r="7" spans="2:9">
      <c r="H7" s="18" t="s">
        <v>30</v>
      </c>
    </row>
    <row r="12" spans="2:9" ht="12.6" customHeight="1">
      <c r="B12" s="26" t="s">
        <v>14</v>
      </c>
      <c r="C12" s="26"/>
      <c r="D12" s="28" t="s">
        <v>18</v>
      </c>
      <c r="E12" s="29"/>
      <c r="F12" t="s">
        <v>11</v>
      </c>
      <c r="G12" s="30" t="s">
        <v>15</v>
      </c>
      <c r="H12" s="30"/>
    </row>
    <row r="13" spans="2:9" ht="14.4" customHeight="1">
      <c r="B13" s="26" t="s">
        <v>0</v>
      </c>
      <c r="C13" s="26"/>
      <c r="D13" s="32" t="s">
        <v>31</v>
      </c>
      <c r="E13" s="33"/>
      <c r="F13" s="1" t="s">
        <v>17</v>
      </c>
      <c r="G13" s="31"/>
      <c r="H13" s="31"/>
    </row>
    <row r="14" spans="2:9">
      <c r="B14" s="1" t="s">
        <v>1</v>
      </c>
      <c r="C14" s="1" t="s">
        <v>2</v>
      </c>
      <c r="D14" s="27" t="s">
        <v>3</v>
      </c>
      <c r="E14" s="27"/>
      <c r="F14" s="25" t="s">
        <v>10</v>
      </c>
      <c r="G14" s="25"/>
      <c r="H14" s="1" t="s">
        <v>13</v>
      </c>
    </row>
    <row r="15" spans="2:9">
      <c r="B15" s="2">
        <v>45484</v>
      </c>
      <c r="C15" s="1" t="s">
        <v>19</v>
      </c>
      <c r="D15" s="34" t="s">
        <v>33</v>
      </c>
      <c r="E15" s="35"/>
      <c r="F15" s="37" t="s">
        <v>20</v>
      </c>
      <c r="G15" s="30"/>
      <c r="H15" s="7">
        <v>300</v>
      </c>
    </row>
    <row r="16" spans="2:9" ht="15.6">
      <c r="B16" s="3" t="s">
        <v>4</v>
      </c>
      <c r="C16" s="3" t="s">
        <v>8</v>
      </c>
      <c r="D16" s="36" t="s">
        <v>5</v>
      </c>
      <c r="E16" s="36"/>
      <c r="F16" s="36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19" t="s">
        <v>21</v>
      </c>
      <c r="E17" s="20"/>
      <c r="F17" s="20"/>
      <c r="G17" s="13">
        <v>48500</v>
      </c>
      <c r="H17" s="17">
        <f>B17*G17*C17</f>
        <v>48500</v>
      </c>
    </row>
    <row r="18" spans="2:8">
      <c r="B18" s="4">
        <v>1</v>
      </c>
      <c r="C18" s="6">
        <v>2</v>
      </c>
      <c r="D18" s="19" t="s">
        <v>22</v>
      </c>
      <c r="E18" s="20"/>
      <c r="F18" s="20"/>
      <c r="G18" s="14">
        <v>6400</v>
      </c>
      <c r="H18" s="17">
        <f t="shared" ref="H18:H29" si="0">B18*G18*C18</f>
        <v>12800</v>
      </c>
    </row>
    <row r="19" spans="2:8">
      <c r="B19" s="4">
        <v>1</v>
      </c>
      <c r="C19" s="6">
        <v>1</v>
      </c>
      <c r="D19" s="19" t="s">
        <v>23</v>
      </c>
      <c r="E19" s="20"/>
      <c r="F19" s="20"/>
      <c r="G19" s="15">
        <v>2500</v>
      </c>
      <c r="H19" s="17">
        <f t="shared" si="0"/>
        <v>2500</v>
      </c>
    </row>
    <row r="20" spans="2:8">
      <c r="B20" s="4">
        <v>1</v>
      </c>
      <c r="C20" s="6">
        <v>1</v>
      </c>
      <c r="D20" s="19" t="s">
        <v>29</v>
      </c>
      <c r="E20" s="20"/>
      <c r="F20" s="20"/>
      <c r="G20" s="14">
        <v>500</v>
      </c>
      <c r="H20" s="17">
        <f t="shared" si="0"/>
        <v>500</v>
      </c>
    </row>
    <row r="21" spans="2:8">
      <c r="B21" s="4">
        <v>2</v>
      </c>
      <c r="C21" s="6">
        <v>1</v>
      </c>
      <c r="D21" s="19" t="s">
        <v>24</v>
      </c>
      <c r="E21" s="20"/>
      <c r="F21" s="20"/>
      <c r="G21" s="14">
        <v>500</v>
      </c>
      <c r="H21" s="17">
        <f t="shared" si="0"/>
        <v>1000</v>
      </c>
    </row>
    <row r="22" spans="2:8">
      <c r="B22" s="6">
        <v>1</v>
      </c>
      <c r="C22" s="6">
        <v>1</v>
      </c>
      <c r="D22" s="19" t="s">
        <v>25</v>
      </c>
      <c r="E22" s="20"/>
      <c r="F22" s="20"/>
      <c r="G22" s="14">
        <v>6000</v>
      </c>
      <c r="H22" s="17">
        <f t="shared" si="0"/>
        <v>6000</v>
      </c>
    </row>
    <row r="23" spans="2:8">
      <c r="B23" s="4">
        <v>8</v>
      </c>
      <c r="C23" s="6">
        <v>1</v>
      </c>
      <c r="D23" s="21" t="s">
        <v>26</v>
      </c>
      <c r="E23" s="22"/>
      <c r="F23" s="23"/>
      <c r="G23" s="14">
        <v>350</v>
      </c>
      <c r="H23" s="17">
        <f t="shared" si="0"/>
        <v>2800</v>
      </c>
    </row>
    <row r="24" spans="2:8">
      <c r="B24" s="4">
        <v>1</v>
      </c>
      <c r="C24" s="6">
        <v>1</v>
      </c>
      <c r="D24" s="21" t="s">
        <v>27</v>
      </c>
      <c r="E24" s="22"/>
      <c r="F24" s="23"/>
      <c r="G24" s="14">
        <v>10300</v>
      </c>
      <c r="H24" s="17">
        <f t="shared" si="0"/>
        <v>10300</v>
      </c>
    </row>
    <row r="25" spans="2:8">
      <c r="B25" s="4">
        <v>1</v>
      </c>
      <c r="C25" s="6">
        <v>1</v>
      </c>
      <c r="D25" s="21" t="s">
        <v>28</v>
      </c>
      <c r="E25" s="22"/>
      <c r="F25" s="23"/>
      <c r="G25" s="14">
        <v>2500</v>
      </c>
      <c r="H25" s="17">
        <f t="shared" si="0"/>
        <v>2500</v>
      </c>
    </row>
    <row r="26" spans="2:8">
      <c r="B26" s="4">
        <v>7</v>
      </c>
      <c r="C26" s="6">
        <v>1</v>
      </c>
      <c r="D26" s="21" t="s">
        <v>32</v>
      </c>
      <c r="E26" s="22"/>
      <c r="F26" s="23"/>
      <c r="G26" s="9">
        <v>8000</v>
      </c>
      <c r="H26" s="17">
        <f t="shared" si="0"/>
        <v>56000</v>
      </c>
    </row>
    <row r="27" spans="2:8">
      <c r="B27" s="4"/>
      <c r="C27" s="6"/>
      <c r="D27" s="21"/>
      <c r="E27" s="22"/>
      <c r="F27" s="23"/>
      <c r="G27" s="9"/>
      <c r="H27" s="17">
        <f t="shared" si="0"/>
        <v>0</v>
      </c>
    </row>
    <row r="28" spans="2:8">
      <c r="B28" s="4"/>
      <c r="C28" s="6"/>
      <c r="D28" s="21"/>
      <c r="E28" s="22"/>
      <c r="F28" s="23"/>
      <c r="G28" s="9"/>
      <c r="H28" s="17">
        <f t="shared" si="0"/>
        <v>0</v>
      </c>
    </row>
    <row r="29" spans="2:8">
      <c r="B29" s="4"/>
      <c r="C29" s="6"/>
      <c r="D29" s="21"/>
      <c r="E29" s="22"/>
      <c r="F29" s="23"/>
      <c r="G29" s="9"/>
      <c r="H29" s="17">
        <f t="shared" si="0"/>
        <v>0</v>
      </c>
    </row>
    <row r="30" spans="2:8">
      <c r="D30" s="24"/>
      <c r="E30" s="24"/>
      <c r="F30" s="24"/>
      <c r="G30" s="10" t="s">
        <v>9</v>
      </c>
      <c r="H30" s="11">
        <f>SUM(H17:H29)</f>
        <v>142900</v>
      </c>
    </row>
    <row r="31" spans="2:8">
      <c r="G31" s="10" t="s">
        <v>16</v>
      </c>
      <c r="H31" s="12">
        <f>H30*0.15</f>
        <v>21435</v>
      </c>
    </row>
    <row r="32" spans="2:8">
      <c r="G32" s="10" t="s">
        <v>9</v>
      </c>
      <c r="H32" s="12">
        <f>H31+H30</f>
        <v>164335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2025-07-11T18:41:35Z</cp:lastPrinted>
  <dcterms:created xsi:type="dcterms:W3CDTF">2022-10-19T19:05:00Z</dcterms:created>
  <dcterms:modified xsi:type="dcterms:W3CDTF">2025-07-11T18:45:25Z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