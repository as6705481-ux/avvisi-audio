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5D96EDDC-9FB1-4415-AA75-A76C239EB64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9" i="1" s="1"/>
  <c r="H22" i="1"/>
  <c r="H24" i="1"/>
  <c r="H25" i="1"/>
  <c r="H26" i="1"/>
  <c r="H23" i="1"/>
  <c r="H21" i="1"/>
  <c r="H19" i="1"/>
  <c r="H20" i="1"/>
  <c r="H18" i="1"/>
  <c r="H17" i="1"/>
  <c r="H16" i="1"/>
  <c r="H27" i="1"/>
  <c r="H30" i="1" l="1"/>
  <c r="H31" i="1" l="1"/>
</calcChain>
</file>

<file path=xl/sharedStrings.xml><?xml version="1.0" encoding="utf-8"?>
<sst xmlns="http://schemas.openxmlformats.org/spreadsheetml/2006/main" count="37" uniqueCount="36">
  <si>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</si>
  <si>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</si>
  <si>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</si>
  <si>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</si>
  <si>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</si>
  <si>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</si>
  <si>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</si>
  <si>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</si>
  <si>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</si>
  <si>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</si>
  <si>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</si>
  <si>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</si>
  <si>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</si>
  <si>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</si>
  <si>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ISV</t>
  </si>
  <si>
    <t>SubTotal</t>
  </si>
  <si>
    <t xml:space="preserve">No definido </t>
  </si>
  <si>
    <t xml:space="preserve">Audio JBL PRX 825 </t>
  </si>
  <si>
    <t xml:space="preserve">Bajos JBL PRX 900 </t>
  </si>
  <si>
    <t xml:space="preserve">Parlantes tipo barra para refuerzo </t>
  </si>
  <si>
    <t xml:space="preserve">Consola Digital de audio </t>
  </si>
  <si>
    <t xml:space="preserve">Microfonos Inalambricos SM58 </t>
  </si>
  <si>
    <t>Luces Roboticas 7r 230 w</t>
  </si>
  <si>
    <t>Luces led 54RGB</t>
  </si>
  <si>
    <t xml:space="preserve">Micronono de Diadema </t>
  </si>
  <si>
    <t xml:space="preserve">Consola Digital de iluminacion </t>
  </si>
  <si>
    <t xml:space="preserve">Personal de staff tecnicos montaje y desmiontaje </t>
  </si>
  <si>
    <t xml:space="preserve">Movilizacion y transporte </t>
  </si>
  <si>
    <t xml:space="preserve">Eufemio Josue Martinez </t>
  </si>
  <si>
    <t>GK7</t>
  </si>
  <si>
    <t>San Pedro Sula / Camara de C.</t>
  </si>
  <si>
    <t xml:space="preserve">Congreso Tecnologico </t>
  </si>
  <si>
    <t xml:space="preserve">Descripción </t>
  </si>
  <si>
    <t>Pantalla led p 3.91 6 x 4 metros en truss</t>
  </si>
  <si>
    <t xml:space="preserve">Pantalla led p 3.91 3 x 2 metros en truss </t>
  </si>
  <si>
    <t>2025-240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</si>
</sst>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43" formatCode="_-* #,##0.00_-;\-* #,##0.00_-;_-* &quot;-&quot;??_-;_-@_-"/>
    <numFmt numFmtId="164" formatCode="_-[$L-480A]* #,##0.00_-;\-[$L-480A]* #,##0.00_-;_-[$L-480A]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9" fillId="4" borderId="0" applyNumberFormat="0" applyBorder="0" applyAlignment="0" applyProtection="0"/>
    <xf numFmtId="0" fontId="10" fillId="3" borderId="0" applyNumberFormat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0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12" fillId="2" borderId="3" xfId="2" applyFont="1" applyFill="1" applyBorder="1" applyAlignment="1">
      <alignment horizontal="center"/>
    </xf>
    <xf numFmtId="164" fontId="13" fillId="2" borderId="3" xfId="0" applyNumberFormat="1" applyFont="1" applyFill="1" applyBorder="1"/>
    <xf numFmtId="0" fontId="10" fillId="3" borderId="3" xfId="2" applyBorder="1" applyAlignment="1">
      <alignment horizontal="center" vertical="center"/>
    </xf>
    <xf numFmtId="44" fontId="10" fillId="3" borderId="3" xfId="2" applyNumberFormat="1" applyBorder="1" applyAlignment="1"/>
    <xf numFmtId="44" fontId="10" fillId="3" borderId="3" xfId="3" applyFill="1" applyBorder="1" applyAlignment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8" fillId="2" borderId="3" xfId="1" applyFont="1" applyFill="1" applyBorder="1" applyAlignment="1">
      <alignment horizontal="center"/>
    </xf>
    <xf numFmtId="0" fontId="14" fillId="2" borderId="3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1" fillId="3" borderId="3" xfId="2" applyFont="1" applyBorder="1" applyAlignment="1">
      <alignment horizontal="left" wrapText="1"/>
    </xf>
    <xf numFmtId="0" fontId="4" fillId="3" borderId="3" xfId="2" applyFont="1" applyBorder="1" applyAlignment="1">
      <alignment horizontal="left" wrapText="1"/>
    </xf>
    <xf numFmtId="0" fontId="2" fillId="3" borderId="3" xfId="2" applyFont="1" applyBorder="1" applyAlignment="1">
      <alignment horizontal="left" wrapText="1"/>
    </xf>
    <xf numFmtId="0" fontId="1" fillId="3" borderId="3" xfId="2" applyFont="1" applyBorder="1" applyAlignment="1">
      <alignment horizontal="left"/>
    </xf>
    <xf numFmtId="0" fontId="5" fillId="3" borderId="3" xfId="2" applyFont="1" applyBorder="1" applyAlignment="1">
      <alignment horizontal="left"/>
    </xf>
    <xf numFmtId="0" fontId="10" fillId="3" borderId="3" xfId="2" applyBorder="1" applyAlignment="1">
      <alignment horizontal="left"/>
    </xf>
    <xf numFmtId="0" fontId="2" fillId="3" borderId="3" xfId="2" applyFont="1" applyBorder="1" applyAlignment="1">
      <alignment horizontal="left"/>
    </xf>
    <xf numFmtId="0" fontId="0" fillId="6" borderId="3" xfId="0" applyFill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44" fontId="0" fillId="6" borderId="3" xfId="4" applyNumberFormat="1" applyFont="1" applyFill="1" applyBorder="1"/>
    <xf numFmtId="44" fontId="10" fillId="3" borderId="3" xfId="3" applyNumberFormat="1" applyFill="1" applyBorder="1" applyAlignment="1"/>
    <xf numFmtId="0" fontId="1" fillId="3" borderId="5" xfId="2" applyFont="1" applyBorder="1" applyAlignment="1">
      <alignment horizontal="left" vertical="center"/>
    </xf>
    <xf numFmtId="0" fontId="1" fillId="3" borderId="6" xfId="2" applyFont="1" applyBorder="1" applyAlignment="1">
      <alignment horizontal="left" vertical="center"/>
    </xf>
    <xf numFmtId="0" fontId="1" fillId="3" borderId="4" xfId="2" applyFont="1" applyBorder="1" applyAlignment="1">
      <alignment horizontal="left" vertical="center"/>
    </xf>
    <xf numFmtId="44" fontId="0" fillId="6" borderId="3" xfId="0" applyNumberFormat="1" applyFill="1" applyBorder="1"/>
    <xf numFmtId="0" fontId="0" fillId="0" borderId="0" xfId="0" applyBorder="1"/>
    <xf numFmtId="0" fontId="12" fillId="2" borderId="8" xfId="2" applyFont="1" applyFill="1" applyBorder="1" applyAlignment="1">
      <alignment horizontal="center"/>
    </xf>
    <xf numFmtId="164" fontId="12" fillId="2" borderId="8" xfId="2" applyNumberFormat="1" applyFont="1" applyFill="1" applyBorder="1"/>
    <xf numFmtId="0" fontId="0" fillId="3" borderId="3" xfId="2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2" xfId="0" applyNumberFormat="1" applyBorder="1" applyAlignment="1">
      <alignment horizontal="center"/>
    </xf>
    <xf numFmtId="17" fontId="3" fillId="0" borderId="2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5">
    <cellStyle name="20% - Énfasis2" xfId="2" builtinId="34"/>
    <cellStyle name="Énfasis2" xfId="1" builtinId="33"/>
    <cellStyle name="Millares" xfId="4" builtinId="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626" y="6364145"/>
          <a:ext cx="50716" cy="33431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61934</xdr:rowOff>
    </xdr:from>
    <xdr:to>
      <xdr:col>8</xdr:col>
      <xdr:colOff>8885</xdr:colOff>
      <xdr:row>7</xdr:row>
      <xdr:rowOff>100705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1934"/>
          <a:ext cx="7285566" cy="1328309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9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28</xdr:row>
      <xdr:rowOff>163794</xdr:rowOff>
    </xdr:from>
    <xdr:to>
      <xdr:col>7</xdr:col>
      <xdr:colOff>847459</xdr:colOff>
      <xdr:row>39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37</xdr:row>
      <xdr:rowOff>1228103</xdr:rowOff>
    </xdr:from>
    <xdr:to>
      <xdr:col>4</xdr:col>
      <xdr:colOff>182839</xdr:colOff>
      <xdr:row>43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Martinez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37</xdr:row>
      <xdr:rowOff>1253501</xdr:rowOff>
    </xdr:from>
    <xdr:to>
      <xdr:col>8</xdr:col>
      <xdr:colOff>52800</xdr:colOff>
      <xdr:row>44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57"/>
  <sheetViews>
    <sheetView tabSelected="1" view="pageLayout" topLeftCell="A2" zoomScale="91" zoomScaleNormal="62" zoomScaleSheetLayoutView="112" zoomScalePageLayoutView="91" workbookViewId="0">
      <selection activeCell="H6" sqref="H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16.6640625" customWidth="1"/>
    <col min="7" max="7" width="12" customWidth="1"/>
    <col min="8" max="8" width="21.109375" customWidth="1"/>
    <col min="9" max="9" width="9.21875" customWidth="1"/>
  </cols>
  <sheetData>
    <row r="5" spans="2:9">
      <c r="H5" s="5" t="s">
        <v>10</v>
      </c>
      <c r="I5" s="1"/>
    </row>
    <row r="6" spans="2:9">
      <c r="H6" s="46" t="s">
        <v>35</v>
      </c>
    </row>
    <row r="11" spans="2:9" ht="12.6" customHeight="1">
      <c r="B11" s="13" t="s">
        <v>12</v>
      </c>
      <c r="C11" s="13"/>
      <c r="D11" s="43" t="s">
        <v>29</v>
      </c>
      <c r="E11" s="16"/>
      <c r="F11" t="s">
        <v>9</v>
      </c>
      <c r="G11" s="42" t="s">
        <v>28</v>
      </c>
      <c r="H11" s="12"/>
    </row>
    <row r="12" spans="2:9" ht="14.4" customHeight="1">
      <c r="B12" s="14" t="s">
        <v>0</v>
      </c>
      <c r="C12" s="14"/>
      <c r="D12" s="41" t="s">
        <v>30</v>
      </c>
      <c r="E12" s="18"/>
      <c r="F12" s="1" t="s">
        <v>13</v>
      </c>
      <c r="G12" s="17"/>
      <c r="H12" s="17"/>
    </row>
    <row r="13" spans="2:9">
      <c r="B13" s="1" t="s">
        <v>1</v>
      </c>
      <c r="C13" s="1" t="s">
        <v>2</v>
      </c>
      <c r="D13" s="15" t="s">
        <v>3</v>
      </c>
      <c r="E13" s="15"/>
      <c r="F13" s="13" t="s">
        <v>8</v>
      </c>
      <c r="G13" s="13"/>
      <c r="H13" s="1" t="s">
        <v>11</v>
      </c>
    </row>
    <row r="14" spans="2:9">
      <c r="B14" s="2">
        <v>45904</v>
      </c>
      <c r="C14" s="1"/>
      <c r="D14" s="45">
        <v>45931</v>
      </c>
      <c r="E14" s="44"/>
      <c r="F14" s="42" t="s">
        <v>31</v>
      </c>
      <c r="G14" s="12"/>
      <c r="H14" s="11" t="s">
        <v>16</v>
      </c>
    </row>
    <row r="15" spans="2:9" ht="15.6">
      <c r="B15" s="19" t="s">
        <v>4</v>
      </c>
      <c r="C15" s="20" t="s">
        <v>7</v>
      </c>
      <c r="D15" s="21" t="s">
        <v>32</v>
      </c>
      <c r="E15" s="21"/>
      <c r="F15" s="21"/>
      <c r="G15" s="19" t="s">
        <v>5</v>
      </c>
      <c r="H15" s="19" t="s">
        <v>6</v>
      </c>
    </row>
    <row r="16" spans="2:9">
      <c r="B16" s="3">
        <v>1</v>
      </c>
      <c r="C16" s="3">
        <v>1</v>
      </c>
      <c r="D16" s="22" t="s">
        <v>33</v>
      </c>
      <c r="E16" s="23"/>
      <c r="F16" s="23"/>
      <c r="G16" s="10">
        <v>35000</v>
      </c>
      <c r="H16" s="10">
        <f t="shared" ref="H16" si="0">G16*B16*C16</f>
        <v>35000</v>
      </c>
    </row>
    <row r="17" spans="2:8" ht="16.8" customHeight="1">
      <c r="B17" s="3">
        <v>1</v>
      </c>
      <c r="C17" s="3">
        <v>1</v>
      </c>
      <c r="D17" s="22" t="s">
        <v>34</v>
      </c>
      <c r="E17" s="24"/>
      <c r="F17" s="24"/>
      <c r="G17" s="10">
        <v>10000</v>
      </c>
      <c r="H17" s="10">
        <f>G17*B17</f>
        <v>10000</v>
      </c>
    </row>
    <row r="18" spans="2:8">
      <c r="B18" s="3">
        <v>2</v>
      </c>
      <c r="C18" s="8">
        <v>1</v>
      </c>
      <c r="D18" s="25" t="s">
        <v>17</v>
      </c>
      <c r="E18" s="26"/>
      <c r="F18" s="26"/>
      <c r="G18" s="9">
        <v>3000</v>
      </c>
      <c r="H18" s="10">
        <f>G18*B18</f>
        <v>6000</v>
      </c>
    </row>
    <row r="19" spans="2:8">
      <c r="B19" s="3">
        <v>2</v>
      </c>
      <c r="C19" s="3">
        <v>1</v>
      </c>
      <c r="D19" s="25" t="s">
        <v>18</v>
      </c>
      <c r="E19" s="27"/>
      <c r="F19" s="27"/>
      <c r="G19" s="9">
        <v>3000</v>
      </c>
      <c r="H19" s="10">
        <f t="shared" ref="H19:H23" si="1">G19*B19</f>
        <v>6000</v>
      </c>
    </row>
    <row r="20" spans="2:8">
      <c r="B20" s="3">
        <v>2</v>
      </c>
      <c r="C20" s="3">
        <v>1</v>
      </c>
      <c r="D20" s="25" t="s">
        <v>19</v>
      </c>
      <c r="E20" s="27"/>
      <c r="F20" s="27"/>
      <c r="G20" s="9">
        <v>1000</v>
      </c>
      <c r="H20" s="10">
        <f t="shared" si="1"/>
        <v>2000</v>
      </c>
    </row>
    <row r="21" spans="2:8">
      <c r="B21" s="3">
        <v>1</v>
      </c>
      <c r="C21" s="8">
        <v>1</v>
      </c>
      <c r="D21" s="25" t="s">
        <v>20</v>
      </c>
      <c r="E21" s="27"/>
      <c r="F21" s="27"/>
      <c r="G21" s="9">
        <v>3000</v>
      </c>
      <c r="H21" s="10">
        <f t="shared" si="1"/>
        <v>3000</v>
      </c>
    </row>
    <row r="22" spans="2:8">
      <c r="B22" s="3">
        <v>1</v>
      </c>
      <c r="C22" s="8">
        <v>1</v>
      </c>
      <c r="D22" s="33" t="s">
        <v>24</v>
      </c>
      <c r="E22" s="34"/>
      <c r="F22" s="35"/>
      <c r="G22" s="9">
        <v>700</v>
      </c>
      <c r="H22" s="10">
        <f t="shared" si="1"/>
        <v>700</v>
      </c>
    </row>
    <row r="23" spans="2:8">
      <c r="B23" s="3">
        <v>4</v>
      </c>
      <c r="C23" s="8">
        <v>1</v>
      </c>
      <c r="D23" s="25" t="s">
        <v>21</v>
      </c>
      <c r="E23" s="27"/>
      <c r="F23" s="27"/>
      <c r="G23" s="9">
        <v>500</v>
      </c>
      <c r="H23" s="10">
        <f t="shared" si="1"/>
        <v>2000</v>
      </c>
    </row>
    <row r="24" spans="2:8">
      <c r="B24" s="29">
        <v>6</v>
      </c>
      <c r="C24" s="30">
        <v>1</v>
      </c>
      <c r="D24" s="25" t="s">
        <v>22</v>
      </c>
      <c r="E24" s="27"/>
      <c r="F24" s="27"/>
      <c r="G24" s="31">
        <v>700</v>
      </c>
      <c r="H24" s="32">
        <f t="shared" ref="H24:H26" si="2">G24*B24*C24</f>
        <v>4200</v>
      </c>
    </row>
    <row r="25" spans="2:8">
      <c r="B25" s="30">
        <v>8</v>
      </c>
      <c r="C25" s="29">
        <v>1</v>
      </c>
      <c r="D25" s="25" t="s">
        <v>23</v>
      </c>
      <c r="E25" s="27"/>
      <c r="F25" s="27"/>
      <c r="G25" s="36">
        <v>300</v>
      </c>
      <c r="H25" s="10">
        <f t="shared" si="2"/>
        <v>2400</v>
      </c>
    </row>
    <row r="26" spans="2:8">
      <c r="B26" s="3">
        <v>1</v>
      </c>
      <c r="C26" s="3">
        <v>1</v>
      </c>
      <c r="D26" s="25" t="s">
        <v>25</v>
      </c>
      <c r="E26" s="27"/>
      <c r="F26" s="27"/>
      <c r="G26" s="9">
        <v>1000</v>
      </c>
      <c r="H26" s="10">
        <f t="shared" si="2"/>
        <v>1000</v>
      </c>
    </row>
    <row r="27" spans="2:8">
      <c r="B27" s="3">
        <v>8</v>
      </c>
      <c r="C27" s="3">
        <v>1</v>
      </c>
      <c r="D27" s="25" t="s">
        <v>26</v>
      </c>
      <c r="E27" s="28"/>
      <c r="F27" s="28"/>
      <c r="G27" s="9">
        <v>1000</v>
      </c>
      <c r="H27" s="10">
        <f t="shared" ref="H27:H28" si="3">G27*B27*C27</f>
        <v>8000</v>
      </c>
    </row>
    <row r="28" spans="2:8">
      <c r="B28" s="40">
        <v>1</v>
      </c>
      <c r="C28" s="3">
        <v>1</v>
      </c>
      <c r="D28" s="33" t="s">
        <v>27</v>
      </c>
      <c r="E28" s="34"/>
      <c r="F28" s="35"/>
      <c r="G28" s="9">
        <v>3500</v>
      </c>
      <c r="H28" s="10">
        <f t="shared" si="3"/>
        <v>3500</v>
      </c>
    </row>
    <row r="29" spans="2:8">
      <c r="D29" s="37"/>
      <c r="E29" s="37"/>
      <c r="F29" s="37"/>
      <c r="G29" s="38" t="s">
        <v>15</v>
      </c>
      <c r="H29" s="39">
        <f>SUM(H16:H28)</f>
        <v>83800</v>
      </c>
    </row>
    <row r="30" spans="2:8">
      <c r="G30" s="6" t="s">
        <v>14</v>
      </c>
      <c r="H30" s="7">
        <f>H29*0.15</f>
        <v>12570</v>
      </c>
    </row>
    <row r="31" spans="2:8">
      <c r="G31" s="6" t="s">
        <v>6</v>
      </c>
      <c r="H31" s="7">
        <f>H29+H30</f>
        <v>96370</v>
      </c>
    </row>
    <row r="38" spans="2:8" ht="126.6" customHeight="1"/>
    <row r="40" spans="2:8" ht="27.6" customHeight="1"/>
    <row r="41" spans="2:8" ht="5.4" customHeight="1">
      <c r="B41" s="4"/>
      <c r="C41" s="4"/>
      <c r="D41" s="4"/>
      <c r="E41" s="4"/>
      <c r="F41" s="4"/>
      <c r="G41" s="4"/>
      <c r="H41" s="4"/>
    </row>
    <row r="43" spans="2:8" ht="25.2" customHeight="1"/>
    <row r="50" ht="21" customHeight="1"/>
    <row r="52" ht="1.95" customHeight="1"/>
    <row r="53" ht="7.95" customHeight="1"/>
    <row r="54" ht="16.05" customHeight="1"/>
    <row r="56" ht="6" customHeight="1"/>
    <row r="57" ht="9.75" customHeight="1"/>
  </sheetData>
  <mergeCells count="25">
    <mergeCell ref="D14:E14"/>
    <mergeCell ref="D15:F15"/>
    <mergeCell ref="F14:G14"/>
    <mergeCell ref="B11:C11"/>
    <mergeCell ref="B12:C12"/>
    <mergeCell ref="D13:E13"/>
    <mergeCell ref="D11:E11"/>
    <mergeCell ref="G11:H11"/>
    <mergeCell ref="F13:G13"/>
    <mergeCell ref="G12:H12"/>
    <mergeCell ref="D12:E12"/>
    <mergeCell ref="D16:F16"/>
    <mergeCell ref="D18:F18"/>
    <mergeCell ref="D29:F29"/>
    <mergeCell ref="D27:F27"/>
    <mergeCell ref="D19:F19"/>
    <mergeCell ref="D20:F20"/>
    <mergeCell ref="D26:F26"/>
    <mergeCell ref="D17:F17"/>
    <mergeCell ref="D21:F21"/>
    <mergeCell ref="D23:F23"/>
    <mergeCell ref="D24:F24"/>
    <mergeCell ref="D25:F25"/>
    <mergeCell ref="D22:F22"/>
    <mergeCell ref="D28:F28"/>
  </mergeCells>
  <phoneticPr fontId="11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2025-09-05T01:46:40Z</cp:lastPrinted>
  <dcterms:created xsi:type="dcterms:W3CDTF">2022-10-19T19:05:00Z</dcterms:created>
  <dcterms:modified xsi:type="dcterms:W3CDTF">2025-09-05T05:08:38Z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