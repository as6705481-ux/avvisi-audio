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4E4CEDF6-0BEF-4E0B-8F95-07FAAE60ADF6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<sst xmlns="http://schemas.openxmlformats.org/spreadsheetml/2006/main" count="31" uniqueCount="31">
  <si>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</si>
  <si>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</si>
  <si>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</si>
  <si>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</si>
  <si>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</si>
  <si>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</si>
  <si>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</si>
  <si>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</si>
  <si>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</si>
  <si>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</si>
  <si>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</si>
  <si>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</si>
  <si>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</si>
  <si>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</si>
  <si>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5 horas  </t>
  </si>
  <si>
    <t xml:space="preserve">Eufemio Martinez </t>
  </si>
  <si>
    <t xml:space="preserve">ISV 15% </t>
  </si>
  <si>
    <t xml:space="preserve">Total </t>
  </si>
  <si>
    <t xml:space="preserve">Gabinos </t>
  </si>
  <si>
    <t xml:space="preserve">Coorporativo </t>
  </si>
  <si>
    <t xml:space="preserve">1 de julio </t>
  </si>
  <si>
    <t xml:space="preserve">San Pedro </t>
  </si>
  <si>
    <t>Pantalla led de 4.5 x 2.5</t>
  </si>
  <si>
    <t xml:space="preserve">Sistema de audio de barra </t>
  </si>
  <si>
    <t>Microfono Inalambrico shure sm58</t>
  </si>
  <si>
    <t xml:space="preserve">Microfono de diadema </t>
  </si>
  <si>
    <t xml:space="preserve">Luces led para iluminacion de salon </t>
  </si>
  <si>
    <t>Personal tecnico y de staff</t>
  </si>
  <si>
    <t xml:space="preserve">Transporte ida y regreso </t>
  </si>
  <si>
    <t>2024-309</t>
  </si>
  <si>
    <t xml:space="preserve">Viaticos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</si>
</sst>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4" borderId="5" applyNumberFormat="0" applyAlignment="0" applyProtection="0"/>
    <xf numFmtId="0" fontId="5" fillId="5" borderId="0" applyNumberFormat="0" applyBorder="0" applyAlignment="0" applyProtection="0"/>
    <xf numFmtId="0" fontId="6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6" fillId="3" borderId="3" xfId="3" applyBorder="1" applyAlignment="1">
      <alignment horizontal="center"/>
    </xf>
    <xf numFmtId="164" fontId="6" fillId="3" borderId="3" xfId="3" applyNumberFormat="1" applyBorder="1"/>
    <xf numFmtId="164" fontId="4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6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2" borderId="3" xfId="3" applyFont="1" applyFill="1" applyBorder="1" applyAlignment="1">
      <alignment horizontal="center"/>
    </xf>
    <xf numFmtId="164" fontId="8" fillId="2" borderId="3" xfId="3" applyNumberFormat="1" applyFont="1" applyFill="1" applyBorder="1"/>
    <xf numFmtId="164" fontId="8" fillId="2" borderId="3" xfId="1" applyNumberFormat="1" applyFont="1" applyFill="1" applyBorder="1"/>
    <xf numFmtId="0" fontId="7" fillId="3" borderId="3" xfId="3" applyFont="1" applyBorder="1" applyAlignment="1">
      <alignment horizontal="left"/>
    </xf>
    <xf numFmtId="0" fontId="6" fillId="3" borderId="3" xfId="3" applyBorder="1" applyAlignment="1">
      <alignment horizontal="left"/>
    </xf>
    <xf numFmtId="0" fontId="6" fillId="3" borderId="3" xfId="3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0" fillId="0" borderId="2" xfId="0" applyBorder="1"/>
    <xf numFmtId="0" fontId="0" fillId="0" borderId="0" xfId="0"/>
    <xf numFmtId="0" fontId="0" fillId="3" borderId="7" xfId="3" applyFont="1" applyBorder="1" applyAlignment="1">
      <alignment horizontal="left" vertical="center"/>
    </xf>
    <xf numFmtId="0" fontId="0" fillId="3" borderId="8" xfId="3" applyFont="1" applyBorder="1" applyAlignment="1">
      <alignment horizontal="left" vertical="center"/>
    </xf>
    <xf numFmtId="0" fontId="0" fillId="3" borderId="4" xfId="3" applyFont="1" applyBorder="1" applyAlignment="1">
      <alignment horizontal="left" vertical="center"/>
    </xf>
    <xf numFmtId="0" fontId="6" fillId="3" borderId="7" xfId="3" applyBorder="1" applyAlignment="1">
      <alignment horizontal="left" vertical="center"/>
    </xf>
    <xf numFmtId="0" fontId="6" fillId="3" borderId="8" xfId="3" applyBorder="1" applyAlignment="1">
      <alignment horizontal="left" vertical="center"/>
    </xf>
    <xf numFmtId="0" fontId="2" fillId="3" borderId="8" xfId="3" applyFont="1" applyBorder="1" applyAlignment="1">
      <alignment horizontal="left" vertical="center"/>
    </xf>
    <xf numFmtId="0" fontId="2" fillId="3" borderId="4" xfId="3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3" borderId="3" xfId="3" applyFont="1" applyBorder="1" applyAlignment="1">
      <alignment horizontal="left"/>
    </xf>
    <xf numFmtId="0" fontId="1" fillId="3" borderId="3" xfId="3" applyFont="1" applyBorder="1" applyAlignment="1">
      <alignment horizontal="left" vertical="center"/>
    </xf>
    <xf numFmtId="0" fontId="1" fillId="3" borderId="7" xfId="3" applyFont="1" applyBorder="1" applyAlignment="1">
      <alignment horizontal="left" vertic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34</xdr:row>
      <xdr:rowOff>83925</xdr:rowOff>
    </xdr:from>
    <xdr:to>
      <xdr:col>1</xdr:col>
      <xdr:colOff>113617</xdr:colOff>
      <xdr:row>36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67714" y="6298988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365124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199353"/>
          <a:ext cx="6619874" cy="1332583"/>
          <a:chOff x="-81784" y="149670"/>
          <a:chExt cx="6641069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4" y="149670"/>
            <a:ext cx="138554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9525</xdr:colOff>
      <xdr:row>26</xdr:row>
      <xdr:rowOff>63501</xdr:rowOff>
    </xdr:from>
    <xdr:to>
      <xdr:col>8</xdr:col>
      <xdr:colOff>381001</xdr:colOff>
      <xdr:row>36</xdr:row>
      <xdr:rowOff>47625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14338" y="4818064"/>
          <a:ext cx="6491288" cy="180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0</xdr:col>
      <xdr:colOff>377508</xdr:colOff>
      <xdr:row>37</xdr:row>
      <xdr:rowOff>403225</xdr:rowOff>
    </xdr:from>
    <xdr:to>
      <xdr:col>4</xdr:col>
      <xdr:colOff>20320</xdr:colOff>
      <xdr:row>44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377508" y="7165975"/>
          <a:ext cx="2381250" cy="14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5</xdr:col>
      <xdr:colOff>478155</xdr:colOff>
      <xdr:row>37</xdr:row>
      <xdr:rowOff>417512</xdr:rowOff>
    </xdr:from>
    <xdr:to>
      <xdr:col>8</xdr:col>
      <xdr:colOff>424180</xdr:colOff>
      <xdr:row>44</xdr:row>
      <xdr:rowOff>176529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002405" y="7180262"/>
          <a:ext cx="2946400" cy="1576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4" zoomScale="96" zoomScaleNormal="100" zoomScaleSheetLayoutView="112" zoomScalePageLayoutView="96" workbookViewId="0">
      <selection activeCell="G25" sqref="G25"/>
    </sheetView>
  </sheetViews>
  <sheetFormatPr baseColWidth="10" defaultColWidth="11" defaultRowHeight="14.4"/>
  <cols>
    <col min="1" max="1" width="5.664062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17"/>
      <c r="C1" s="17"/>
      <c r="D1" s="17"/>
      <c r="E1" s="17"/>
      <c r="F1" s="17"/>
      <c r="G1" s="17"/>
      <c r="H1" s="17"/>
    </row>
    <row r="5" spans="2:9" ht="15" thickBot="1"/>
    <row r="6" spans="2:9" ht="15" thickBot="1">
      <c r="H6" s="10" t="s">
        <v>13</v>
      </c>
      <c r="I6" s="10" t="s">
        <v>29</v>
      </c>
    </row>
    <row r="12" spans="2:9" ht="12.6" customHeight="1">
      <c r="B12" s="18" t="s">
        <v>0</v>
      </c>
      <c r="C12" s="18"/>
      <c r="D12" s="34" t="s">
        <v>18</v>
      </c>
      <c r="E12" s="19"/>
      <c r="F12" t="s">
        <v>12</v>
      </c>
      <c r="G12" s="21" t="s">
        <v>15</v>
      </c>
      <c r="H12" s="21"/>
    </row>
    <row r="13" spans="2:9" ht="14.4" customHeight="1">
      <c r="B13" s="18" t="s">
        <v>1</v>
      </c>
      <c r="C13" s="18"/>
      <c r="D13" s="34" t="s">
        <v>21</v>
      </c>
      <c r="E13" s="19"/>
      <c r="F13" s="19"/>
      <c r="G13" s="19"/>
    </row>
    <row r="14" spans="2:9">
      <c r="B14" s="1" t="s">
        <v>2</v>
      </c>
      <c r="C14" s="1" t="s">
        <v>3</v>
      </c>
      <c r="D14" s="20" t="s">
        <v>4</v>
      </c>
      <c r="E14" s="20"/>
      <c r="F14" s="17" t="s">
        <v>11</v>
      </c>
      <c r="G14" s="17"/>
      <c r="H14" s="17"/>
    </row>
    <row r="15" spans="2:9">
      <c r="B15" s="2">
        <v>45467</v>
      </c>
      <c r="C15" s="1" t="s">
        <v>14</v>
      </c>
      <c r="D15" s="22" t="s">
        <v>20</v>
      </c>
      <c r="E15" s="22"/>
      <c r="F15" s="21" t="s">
        <v>19</v>
      </c>
      <c r="G15" s="21"/>
      <c r="H15" s="21"/>
    </row>
    <row r="16" spans="2:9" ht="15.6">
      <c r="B16" s="3" t="s">
        <v>5</v>
      </c>
      <c r="C16" s="3" t="s">
        <v>9</v>
      </c>
      <c r="D16" s="23" t="s">
        <v>6</v>
      </c>
      <c r="E16" s="23"/>
      <c r="F16" s="23"/>
      <c r="G16" s="3" t="s">
        <v>7</v>
      </c>
      <c r="H16" s="3" t="s">
        <v>8</v>
      </c>
    </row>
    <row r="17" spans="2:8">
      <c r="B17" s="4">
        <v>1</v>
      </c>
      <c r="C17" s="4">
        <v>1</v>
      </c>
      <c r="D17" s="24" t="s">
        <v>22</v>
      </c>
      <c r="E17" s="15"/>
      <c r="F17" s="15"/>
      <c r="G17" s="5">
        <v>17000</v>
      </c>
      <c r="H17" s="8">
        <f>G17*B17*C17</f>
        <v>17000</v>
      </c>
    </row>
    <row r="18" spans="2:8">
      <c r="B18" s="4">
        <v>2</v>
      </c>
      <c r="C18" s="9">
        <v>1</v>
      </c>
      <c r="D18" s="35" t="s">
        <v>23</v>
      </c>
      <c r="E18" s="14"/>
      <c r="F18" s="14"/>
      <c r="G18" s="5">
        <v>1500</v>
      </c>
      <c r="H18" s="8">
        <f t="shared" ref="H18:H26" si="0">G18*B18*C18</f>
        <v>3000</v>
      </c>
    </row>
    <row r="19" spans="2:8">
      <c r="B19" s="4">
        <v>2</v>
      </c>
      <c r="C19" s="9">
        <v>1</v>
      </c>
      <c r="D19" s="35" t="s">
        <v>24</v>
      </c>
      <c r="E19" s="14"/>
      <c r="F19" s="14"/>
      <c r="G19" s="5">
        <v>300</v>
      </c>
      <c r="H19" s="8">
        <f t="shared" si="0"/>
        <v>600</v>
      </c>
    </row>
    <row r="20" spans="2:8">
      <c r="B20" s="4">
        <v>1</v>
      </c>
      <c r="C20" s="9">
        <v>1</v>
      </c>
      <c r="D20" s="35" t="s">
        <v>25</v>
      </c>
      <c r="E20" s="15"/>
      <c r="F20" s="15"/>
      <c r="G20" s="5">
        <v>350</v>
      </c>
      <c r="H20" s="8">
        <f t="shared" si="0"/>
        <v>350</v>
      </c>
    </row>
    <row r="21" spans="2:8">
      <c r="B21" s="4">
        <v>10</v>
      </c>
      <c r="C21" s="9">
        <v>1</v>
      </c>
      <c r="D21" s="36" t="s">
        <v>26</v>
      </c>
      <c r="E21" s="16"/>
      <c r="F21" s="16"/>
      <c r="G21" s="5">
        <v>200</v>
      </c>
      <c r="H21" s="8">
        <f t="shared" si="0"/>
        <v>2000</v>
      </c>
    </row>
    <row r="22" spans="2:8">
      <c r="B22" s="4">
        <v>3</v>
      </c>
      <c r="C22" s="9">
        <v>1</v>
      </c>
      <c r="D22" s="36" t="s">
        <v>27</v>
      </c>
      <c r="E22" s="16"/>
      <c r="F22" s="16"/>
      <c r="G22" s="5">
        <v>800</v>
      </c>
      <c r="H22" s="8">
        <f t="shared" si="0"/>
        <v>2400</v>
      </c>
    </row>
    <row r="23" spans="2:8">
      <c r="B23" s="4">
        <v>1</v>
      </c>
      <c r="C23" s="9">
        <v>1</v>
      </c>
      <c r="D23" s="37" t="s">
        <v>28</v>
      </c>
      <c r="E23" s="32"/>
      <c r="F23" s="33"/>
      <c r="G23" s="5">
        <v>2500</v>
      </c>
      <c r="H23" s="8">
        <f t="shared" si="0"/>
        <v>2500</v>
      </c>
    </row>
    <row r="24" spans="2:8">
      <c r="B24" s="4">
        <v>1</v>
      </c>
      <c r="C24" s="9">
        <v>1</v>
      </c>
      <c r="D24" s="27" t="s">
        <v>30</v>
      </c>
      <c r="E24" s="28"/>
      <c r="F24" s="29"/>
      <c r="G24" s="5">
        <v>3400</v>
      </c>
      <c r="H24" s="8">
        <f t="shared" si="0"/>
        <v>3400</v>
      </c>
    </row>
    <row r="25" spans="2:8">
      <c r="B25" s="4"/>
      <c r="C25" s="9"/>
      <c r="D25" s="27"/>
      <c r="E25" s="28"/>
      <c r="F25" s="29"/>
      <c r="G25" s="5">
        <v>0</v>
      </c>
      <c r="H25" s="8">
        <f t="shared" si="0"/>
        <v>0</v>
      </c>
    </row>
    <row r="26" spans="2:8">
      <c r="B26" s="4"/>
      <c r="C26" s="4"/>
      <c r="D26" s="30"/>
      <c r="E26" s="31"/>
      <c r="F26" s="31"/>
      <c r="G26" s="5">
        <v>0</v>
      </c>
      <c r="H26" s="8">
        <f t="shared" si="0"/>
        <v>0</v>
      </c>
    </row>
    <row r="27" spans="2:8">
      <c r="D27" s="25"/>
      <c r="E27" s="25"/>
      <c r="F27" s="25"/>
      <c r="G27" s="11" t="s">
        <v>10</v>
      </c>
      <c r="H27" s="6">
        <f>SUM(H17:H26)</f>
        <v>31250</v>
      </c>
    </row>
    <row r="28" spans="2:8">
      <c r="D28" s="26"/>
      <c r="E28" s="26"/>
      <c r="F28" s="26"/>
      <c r="G28" s="11" t="s">
        <v>16</v>
      </c>
      <c r="H28" s="12">
        <f>H27*0.15</f>
        <v>4687.5</v>
      </c>
    </row>
    <row r="29" spans="2:8">
      <c r="D29" s="26"/>
      <c r="E29" s="26"/>
      <c r="F29" s="26"/>
      <c r="G29" s="11" t="s">
        <v>17</v>
      </c>
      <c r="H29" s="13">
        <f>H27+H28</f>
        <v>35937.5</v>
      </c>
    </row>
    <row r="38" spans="2:8" ht="33" customHeight="1"/>
    <row r="40" spans="2:8" ht="46.2" customHeight="1"/>
    <row r="41" spans="2:8" ht="6" customHeight="1">
      <c r="B41" s="7"/>
      <c r="C41" s="7"/>
      <c r="D41" s="7"/>
      <c r="E41" s="7"/>
      <c r="F41" s="7"/>
      <c r="G41" s="7"/>
      <c r="H41" s="7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4">
    <mergeCell ref="D18:F18"/>
    <mergeCell ref="D27:F27"/>
    <mergeCell ref="D28:F28"/>
    <mergeCell ref="D29:F29"/>
    <mergeCell ref="D24:F24"/>
    <mergeCell ref="D25:F25"/>
    <mergeCell ref="D26:F26"/>
    <mergeCell ref="D22:F22"/>
    <mergeCell ref="D23:F23"/>
    <mergeCell ref="D19:F19"/>
    <mergeCell ref="D20:F20"/>
    <mergeCell ref="D21:F21"/>
    <mergeCell ref="B1:H1"/>
    <mergeCell ref="B12:C12"/>
    <mergeCell ref="B13:C13"/>
    <mergeCell ref="D13:G13"/>
    <mergeCell ref="D14:E14"/>
    <mergeCell ref="F14:H14"/>
    <mergeCell ref="D12:E12"/>
    <mergeCell ref="G12:H12"/>
    <mergeCell ref="D15:E15"/>
    <mergeCell ref="F15:H15"/>
    <mergeCell ref="D16:F16"/>
    <mergeCell ref="D17:F17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2024-06-25T01:22:22Z</cp:lastPrinted>
  <dcterms:created xsi:type="dcterms:W3CDTF">2022-10-19T19:05:00Z</dcterms:created>
  <dcterms:modified xsi:type="dcterms:W3CDTF">2024-06-25T01:26:37Z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