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B394279-3803-4E08-BBAD-868A3A5EC9F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1" i="1"/>
  <c r="H18" i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</calcChain>
</file>

<file path=xl/sharedStrings.xml><?xml version="1.0" encoding="utf-8"?>
<sst xmlns="http://schemas.openxmlformats.org/spreadsheetml/2006/main" count="26" uniqueCount="26">
  <si>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</si>
  <si>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</si>
  <si>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</si>
  <si>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</si>
  <si>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</si>
  <si>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</si>
  <si>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</si>
  <si>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</si>
  <si>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</si>
  <si>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</si>
  <si>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</si>
  <si>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</si>
  <si>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</si>
  <si>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</si>
  <si>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</si>
  <si>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</si>
  <si>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Total </t>
  </si>
  <si>
    <t xml:space="preserve">Banco de Occidente </t>
  </si>
  <si>
    <t xml:space="preserve">Tegucigalpa / Mall Multiplaza </t>
  </si>
  <si>
    <t xml:space="preserve">3 dia </t>
  </si>
  <si>
    <t xml:space="preserve">4 al 6  de Julio </t>
  </si>
  <si>
    <t xml:space="preserve">Evento de Marca </t>
  </si>
  <si>
    <t xml:space="preserve">Totem led 2 x 1 metros </t>
  </si>
  <si>
    <t>ISV 15 %</t>
  </si>
  <si>
    <t xml:space="preserve">Sub Total </t>
  </si>
  <si>
    <t>2025-187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</si>
</sst>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34636</xdr:rowOff>
    </xdr:from>
    <xdr:to>
      <xdr:col>7</xdr:col>
      <xdr:colOff>1066800</xdr:colOff>
      <xdr:row>39</xdr:row>
      <xdr:rowOff>147963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257800"/>
          <a:ext cx="6580437" cy="2524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3" zoomScale="110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11</v>
      </c>
      <c r="I6" s="1"/>
    </row>
    <row r="7" spans="2:9">
      <c r="H7" s="37" t="s">
        <v>25</v>
      </c>
    </row>
    <row r="12" spans="2:9" ht="12.6" customHeight="1">
      <c r="B12" s="25" t="s">
        <v>13</v>
      </c>
      <c r="C12" s="25"/>
      <c r="D12" s="33" t="s">
        <v>17</v>
      </c>
      <c r="E12" s="27"/>
      <c r="F12" t="s">
        <v>10</v>
      </c>
      <c r="G12" s="28" t="s">
        <v>14</v>
      </c>
      <c r="H12" s="28"/>
    </row>
    <row r="13" spans="2:9" ht="14.4" customHeight="1">
      <c r="B13" s="25" t="s">
        <v>0</v>
      </c>
      <c r="C13" s="25"/>
      <c r="D13" s="34" t="s">
        <v>18</v>
      </c>
      <c r="E13" s="30"/>
      <c r="F13" s="1" t="s">
        <v>15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9</v>
      </c>
      <c r="G14" s="24"/>
      <c r="H14" s="1" t="s">
        <v>12</v>
      </c>
    </row>
    <row r="15" spans="2:9">
      <c r="B15" s="2">
        <v>45463</v>
      </c>
      <c r="C15" s="1" t="s">
        <v>19</v>
      </c>
      <c r="D15" s="35" t="s">
        <v>20</v>
      </c>
      <c r="E15" s="31"/>
      <c r="F15" s="36" t="s">
        <v>21</v>
      </c>
      <c r="G15" s="28"/>
      <c r="H15" s="7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2</v>
      </c>
      <c r="C17" s="4">
        <v>3</v>
      </c>
      <c r="D17" s="18" t="s">
        <v>22</v>
      </c>
      <c r="E17" s="19"/>
      <c r="F17" s="19"/>
      <c r="G17" s="13">
        <v>2350</v>
      </c>
      <c r="H17" s="17">
        <f>B17*G17*C17</f>
        <v>14100</v>
      </c>
    </row>
    <row r="18" spans="2:8">
      <c r="B18" s="4"/>
      <c r="C18" s="6"/>
      <c r="D18" s="18"/>
      <c r="E18" s="19"/>
      <c r="F18" s="19"/>
      <c r="G18" s="14"/>
      <c r="H18" s="17">
        <f t="shared" ref="H18:H29" si="0">B18*G18*C18</f>
        <v>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6"/>
      <c r="C22" s="6"/>
      <c r="D22" s="18"/>
      <c r="E22" s="19"/>
      <c r="F22" s="19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24</v>
      </c>
      <c r="H30" s="11">
        <f>SUM(H17:H29)</f>
        <v>14100</v>
      </c>
    </row>
    <row r="31" spans="2:8">
      <c r="G31" s="10" t="s">
        <v>23</v>
      </c>
      <c r="H31" s="12">
        <f>H30*0.15</f>
        <v>2115</v>
      </c>
    </row>
    <row r="32" spans="2:8">
      <c r="G32" s="10" t="s">
        <v>16</v>
      </c>
      <c r="H32" s="12">
        <f>H31+H30</f>
        <v>16215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2025-06-17T16:09:45Z</cp:lastPrinted>
  <dcterms:created xsi:type="dcterms:W3CDTF">2022-10-19T19:05:00Z</dcterms:created>
  <dcterms:modified xsi:type="dcterms:W3CDTF">2025-06-20T17:11:48Z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