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88157FE1-4F24-4BFC-97E5-22B245A3CA17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7" i="1"/>
  <c r="H24" i="1"/>
  <c r="H19" i="1"/>
  <c r="H22" i="1"/>
  <c r="H23" i="1"/>
  <c r="H20" i="1"/>
  <c r="H21" i="1"/>
  <c r="H25" i="1" l="1"/>
  <c r="H27" i="1" l="1"/>
</calcChain>
</file>

<file path=xl/sharedStrings.xml><?xml version="1.0" encoding="utf-8"?>
<sst xmlns="http://schemas.openxmlformats.org/spreadsheetml/2006/main" count="30" uniqueCount="30">
  <si>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</si>
  <si>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</si>
  <si>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</si>
  <si>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</si>
  <si>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</si>
  <si>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</si>
  <si>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</si>
  <si>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</si>
  <si>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</si>
  <si>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</si>
  <si>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</si>
  <si>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</si>
  <si>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</si>
  <si>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Cliente </t>
  </si>
  <si>
    <t>RTN</t>
  </si>
  <si>
    <t xml:space="preserve">Total </t>
  </si>
  <si>
    <t>ISV 15%</t>
  </si>
  <si>
    <t>2025-062</t>
  </si>
  <si>
    <t>San Pedro Sula</t>
  </si>
  <si>
    <t>Pantalla Led 2x3</t>
  </si>
  <si>
    <t>Luces Roboticas</t>
  </si>
  <si>
    <t>Luces Led</t>
  </si>
  <si>
    <t>Tecnico</t>
  </si>
  <si>
    <t>DJ  Profesional</t>
  </si>
  <si>
    <t>Audio profesional</t>
  </si>
  <si>
    <t>Tarima 2x3</t>
  </si>
  <si>
    <t>DJBooth</t>
  </si>
  <si>
    <t xml:space="preserve">Lic. Tania Ulloa </t>
  </si>
  <si>
    <t>The Fans Society</t>
  </si>
  <si>
    <t xml:space="preserve"> 15 de Marzo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</si>
</sst>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7" fillId="4" borderId="0" applyNumberFormat="0" applyBorder="0" applyAlignment="0" applyProtection="0"/>
    <xf numFmtId="0" fontId="8" fillId="3" borderId="0" applyNumberFormat="0" applyBorder="0" applyAlignment="0" applyProtection="0"/>
    <xf numFmtId="44" fontId="8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10" fillId="2" borderId="3" xfId="2" applyFont="1" applyFill="1" applyBorder="1" applyAlignment="1">
      <alignment horizontal="center"/>
    </xf>
    <xf numFmtId="164" fontId="10" fillId="2" borderId="3" xfId="2" applyNumberFormat="1" applyFont="1" applyFill="1" applyBorder="1"/>
    <xf numFmtId="164" fontId="11" fillId="2" borderId="3" xfId="0" applyNumberFormat="1" applyFont="1" applyFill="1" applyBorder="1"/>
    <xf numFmtId="0" fontId="8" fillId="3" borderId="3" xfId="2" applyBorder="1" applyAlignment="1">
      <alignment horizontal="center" vertical="center"/>
    </xf>
    <xf numFmtId="0" fontId="8" fillId="3" borderId="3" xfId="2" applyBorder="1" applyAlignment="1">
      <alignment horizontal="center"/>
    </xf>
    <xf numFmtId="1" fontId="0" fillId="0" borderId="1" xfId="3" applyNumberFormat="1" applyFont="1" applyBorder="1" applyAlignment="1">
      <alignment horizontal="center" vertical="center"/>
    </xf>
    <xf numFmtId="44" fontId="8" fillId="3" borderId="3" xfId="3" applyFill="1" applyBorder="1" applyAlignment="1"/>
    <xf numFmtId="44" fontId="8" fillId="3" borderId="3" xfId="3" applyFill="1" applyBorder="1" applyAlignment="1">
      <alignment vertical="center"/>
    </xf>
    <xf numFmtId="44" fontId="0" fillId="3" borderId="3" xfId="3" applyFont="1" applyFill="1" applyBorder="1" applyAlignment="1"/>
    <xf numFmtId="0" fontId="0" fillId="0" borderId="0" xfId="0" applyAlignment="1">
      <alignment horizontal="left" vertical="center"/>
    </xf>
    <xf numFmtId="0" fontId="12" fillId="2" borderId="0" xfId="0" applyFont="1" applyFill="1"/>
    <xf numFmtId="0" fontId="0" fillId="5" borderId="0" xfId="0" applyFill="1" applyAlignment="1">
      <alignment horizontal="center"/>
    </xf>
    <xf numFmtId="0" fontId="0" fillId="3" borderId="5" xfId="2" applyFont="1" applyBorder="1" applyAlignment="1">
      <alignment horizontal="left"/>
    </xf>
    <xf numFmtId="0" fontId="8" fillId="3" borderId="6" xfId="2" applyBorder="1" applyAlignment="1">
      <alignment horizontal="left"/>
    </xf>
    <xf numFmtId="0" fontId="8" fillId="3" borderId="4" xfId="2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0" fillId="3" borderId="3" xfId="2" applyFont="1" applyBorder="1" applyAlignment="1">
      <alignment horizontal="center" vertical="center"/>
    </xf>
    <xf numFmtId="14" fontId="0" fillId="0" borderId="2" xfId="0" applyNumberFormat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8" fillId="3" borderId="6" xfId="2" applyBorder="1" applyAlignment="1">
      <alignment horizontal="left"/>
    </xf>
    <xf numFmtId="0" fontId="8" fillId="3" borderId="4" xfId="2" applyBorder="1" applyAlignment="1">
      <alignment horizontal="left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14" fontId="1" fillId="0" borderId="2" xfId="0" applyNumberFormat="1" applyFont="1" applyBorder="1" applyAlignment="1">
      <alignment horizont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30</xdr:row>
      <xdr:rowOff>83925</xdr:rowOff>
    </xdr:from>
    <xdr:to>
      <xdr:col>1</xdr:col>
      <xdr:colOff>113617</xdr:colOff>
      <xdr:row>32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5301" y="5564229"/>
          <a:ext cx="50716" cy="331639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7254"/>
          <a:ext cx="6642530" cy="131893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113862</xdr:colOff>
      <xdr:row>24</xdr:row>
      <xdr:rowOff>35851</xdr:rowOff>
    </xdr:from>
    <xdr:to>
      <xdr:col>7</xdr:col>
      <xdr:colOff>1064559</xdr:colOff>
      <xdr:row>34</xdr:row>
      <xdr:rowOff>142798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13862" y="4809299"/>
          <a:ext cx="6600007" cy="21126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43806</xdr:colOff>
      <xdr:row>38</xdr:row>
      <xdr:rowOff>292945</xdr:rowOff>
    </xdr:from>
    <xdr:to>
      <xdr:col>4</xdr:col>
      <xdr:colOff>91431</xdr:colOff>
      <xdr:row>41</xdr:row>
      <xdr:rowOff>108266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98135" y="7285983"/>
          <a:ext cx="2410790" cy="5001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Josue Martinez  </a:t>
          </a:r>
          <a:endParaRPr lang="es-H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1108877</xdr:colOff>
      <xdr:row>38</xdr:row>
      <xdr:rowOff>219317</xdr:rowOff>
    </xdr:from>
    <xdr:to>
      <xdr:col>7</xdr:col>
      <xdr:colOff>742709</xdr:colOff>
      <xdr:row>42</xdr:row>
      <xdr:rowOff>90076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626371" y="7212355"/>
          <a:ext cx="2797579" cy="738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135037</xdr:colOff>
      <xdr:row>34</xdr:row>
      <xdr:rowOff>94537</xdr:rowOff>
    </xdr:from>
    <xdr:to>
      <xdr:col>4</xdr:col>
      <xdr:colOff>250782</xdr:colOff>
      <xdr:row>43</xdr:row>
      <xdr:rowOff>79700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118E961-06EB-244A-2746-ADE314D35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37" y="6306284"/>
          <a:ext cx="2633239" cy="1564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3"/>
  <sheetViews>
    <sheetView tabSelected="1" view="pageLayout" zoomScale="125" zoomScaleNormal="100" zoomScaleSheetLayoutView="112" zoomScalePageLayoutView="125" workbookViewId="0">
      <selection activeCell="G25" sqref="G2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1.21875" customWidth="1"/>
    <col min="8" max="8" width="16.44140625" customWidth="1"/>
    <col min="9" max="9" width="9.21875" customWidth="1"/>
  </cols>
  <sheetData>
    <row r="1" spans="2:9">
      <c r="B1" s="31"/>
      <c r="C1" s="31"/>
      <c r="D1" s="31"/>
      <c r="E1" s="31"/>
      <c r="F1" s="31"/>
      <c r="G1" s="31"/>
      <c r="H1" s="31"/>
    </row>
    <row r="6" spans="2:9">
      <c r="H6" s="4" t="s">
        <v>12</v>
      </c>
      <c r="I6" s="1"/>
    </row>
    <row r="7" spans="2:9">
      <c r="H7" s="22" t="s">
        <v>17</v>
      </c>
    </row>
    <row r="12" spans="2:9" ht="12.6" customHeight="1">
      <c r="B12" s="14" t="s">
        <v>13</v>
      </c>
      <c r="C12" s="33" t="s">
        <v>28</v>
      </c>
      <c r="D12" s="36"/>
      <c r="E12" s="36"/>
      <c r="F12" t="s">
        <v>11</v>
      </c>
      <c r="G12" s="30" t="s">
        <v>27</v>
      </c>
      <c r="H12" s="30"/>
    </row>
    <row r="13" spans="2:9" ht="14.4" customHeight="1">
      <c r="B13" s="32" t="s">
        <v>0</v>
      </c>
      <c r="C13" s="32"/>
      <c r="D13" s="33" t="s">
        <v>18</v>
      </c>
      <c r="E13" s="34"/>
      <c r="F13" s="34"/>
      <c r="G13" s="34"/>
    </row>
    <row r="14" spans="2:9">
      <c r="B14" s="1" t="s">
        <v>1</v>
      </c>
      <c r="C14" s="1" t="s">
        <v>2</v>
      </c>
      <c r="D14" s="35" t="s">
        <v>3</v>
      </c>
      <c r="E14" s="35"/>
      <c r="F14" s="35" t="s">
        <v>10</v>
      </c>
      <c r="G14" s="35"/>
      <c r="H14" s="1" t="s">
        <v>14</v>
      </c>
    </row>
    <row r="15" spans="2:9">
      <c r="B15" s="2">
        <v>45698</v>
      </c>
      <c r="C15" s="1"/>
      <c r="D15" s="40" t="s">
        <v>29</v>
      </c>
      <c r="E15" s="24"/>
      <c r="F15" s="29"/>
      <c r="G15" s="30"/>
      <c r="H15" s="10"/>
    </row>
    <row r="16" spans="2:9" ht="15.6">
      <c r="B16" s="3" t="s">
        <v>4</v>
      </c>
      <c r="C16" s="3" t="s">
        <v>8</v>
      </c>
      <c r="D16" s="25" t="s">
        <v>5</v>
      </c>
      <c r="E16" s="25"/>
      <c r="F16" s="25"/>
      <c r="G16" s="3" t="s">
        <v>6</v>
      </c>
      <c r="H16" s="3" t="s">
        <v>7</v>
      </c>
    </row>
    <row r="17" spans="2:8">
      <c r="B17" s="23">
        <v>1</v>
      </c>
      <c r="C17" s="8">
        <v>1</v>
      </c>
      <c r="D17" s="26" t="s">
        <v>19</v>
      </c>
      <c r="E17" s="27"/>
      <c r="F17" s="28"/>
      <c r="G17" s="11">
        <v>9000</v>
      </c>
      <c r="H17" s="12">
        <f>G17*B17*C17</f>
        <v>9000</v>
      </c>
    </row>
    <row r="18" spans="2:8">
      <c r="B18" s="23">
        <v>1</v>
      </c>
      <c r="C18" s="8">
        <v>1</v>
      </c>
      <c r="D18" s="17" t="s">
        <v>26</v>
      </c>
      <c r="E18" s="18"/>
      <c r="F18" s="19"/>
      <c r="G18" s="11">
        <v>3000</v>
      </c>
      <c r="H18" s="12">
        <f>G18</f>
        <v>3000</v>
      </c>
    </row>
    <row r="19" spans="2:8">
      <c r="B19" s="8">
        <v>1</v>
      </c>
      <c r="C19" s="8">
        <v>1</v>
      </c>
      <c r="D19" s="26" t="s">
        <v>25</v>
      </c>
      <c r="E19" s="27"/>
      <c r="F19" s="28"/>
      <c r="G19" s="11">
        <v>3000</v>
      </c>
      <c r="H19" s="12">
        <f>G19*B19*C19</f>
        <v>3000</v>
      </c>
    </row>
    <row r="20" spans="2:8">
      <c r="B20" s="9">
        <v>4</v>
      </c>
      <c r="C20" s="9">
        <v>1</v>
      </c>
      <c r="D20" s="26" t="s">
        <v>20</v>
      </c>
      <c r="E20" s="27"/>
      <c r="F20" s="28"/>
      <c r="G20" s="13">
        <v>750</v>
      </c>
      <c r="H20" s="12">
        <f t="shared" ref="H20:H24" si="0">G20*B20</f>
        <v>3000</v>
      </c>
    </row>
    <row r="21" spans="2:8">
      <c r="B21" s="9">
        <v>8</v>
      </c>
      <c r="C21" s="9">
        <v>1</v>
      </c>
      <c r="D21" s="26" t="s">
        <v>21</v>
      </c>
      <c r="E21" s="27"/>
      <c r="F21" s="28"/>
      <c r="G21" s="11">
        <v>250</v>
      </c>
      <c r="H21" s="12">
        <f t="shared" si="0"/>
        <v>2000</v>
      </c>
    </row>
    <row r="22" spans="2:8">
      <c r="B22" s="9">
        <v>1</v>
      </c>
      <c r="C22" s="9">
        <v>1</v>
      </c>
      <c r="D22" s="26" t="s">
        <v>23</v>
      </c>
      <c r="E22" s="37"/>
      <c r="F22" s="38"/>
      <c r="G22" s="11">
        <v>2500</v>
      </c>
      <c r="H22" s="12">
        <f t="shared" si="0"/>
        <v>2500</v>
      </c>
    </row>
    <row r="23" spans="2:8">
      <c r="B23" s="9">
        <v>1</v>
      </c>
      <c r="C23" s="9">
        <v>1</v>
      </c>
      <c r="D23" s="26" t="s">
        <v>22</v>
      </c>
      <c r="E23" s="37"/>
      <c r="F23" s="38"/>
      <c r="G23" s="11">
        <v>1000</v>
      </c>
      <c r="H23" s="12">
        <f t="shared" si="0"/>
        <v>1000</v>
      </c>
    </row>
    <row r="24" spans="2:8">
      <c r="B24" s="9">
        <v>1</v>
      </c>
      <c r="C24" s="9">
        <v>1</v>
      </c>
      <c r="D24" s="17" t="s">
        <v>24</v>
      </c>
      <c r="E24" s="20"/>
      <c r="F24" s="21"/>
      <c r="G24" s="11">
        <v>4000</v>
      </c>
      <c r="H24" s="12">
        <f t="shared" si="0"/>
        <v>4000</v>
      </c>
    </row>
    <row r="25" spans="2:8">
      <c r="D25" s="39"/>
      <c r="E25" s="39"/>
      <c r="F25" s="39"/>
      <c r="G25" s="5" t="s">
        <v>9</v>
      </c>
      <c r="H25" s="6">
        <f>SUM(H17:H24)</f>
        <v>27500</v>
      </c>
    </row>
    <row r="26" spans="2:8">
      <c r="G26" s="5" t="s">
        <v>16</v>
      </c>
      <c r="H26" s="7"/>
    </row>
    <row r="27" spans="2:8">
      <c r="G27" s="5" t="s">
        <v>15</v>
      </c>
      <c r="H27" s="7">
        <f>H26+H25</f>
        <v>27500</v>
      </c>
    </row>
    <row r="33" spans="2:8" ht="31.8" customHeight="1"/>
    <row r="34" spans="2:8" ht="1.8" customHeight="1"/>
    <row r="35" spans="2:8" hidden="1"/>
    <row r="36" spans="2:8" ht="27.6" customHeight="1"/>
    <row r="37" spans="2:8" ht="5.4" customHeight="1">
      <c r="D37" s="16"/>
      <c r="E37" s="16"/>
      <c r="F37" s="16"/>
      <c r="G37" s="16"/>
      <c r="H37" s="16"/>
    </row>
    <row r="38" spans="2:8" ht="1.2" customHeight="1"/>
    <row r="39" spans="2:8" ht="25.2" customHeight="1"/>
    <row r="46" spans="2:8" ht="29.4" customHeight="1"/>
    <row r="47" spans="2:8" ht="6" customHeight="1">
      <c r="B47" s="15"/>
      <c r="C47" s="15"/>
      <c r="D47" s="15"/>
      <c r="E47" s="15"/>
      <c r="F47" s="15"/>
      <c r="G47" s="15"/>
      <c r="H47" s="15"/>
    </row>
    <row r="48" spans="2:8" ht="1.95" customHeight="1"/>
    <row r="49" ht="7.95" customHeight="1"/>
    <row r="50" ht="16.05" customHeight="1"/>
    <row r="52" ht="6" customHeight="1"/>
    <row r="53" ht="9.75" customHeight="1"/>
  </sheetData>
  <mergeCells count="17">
    <mergeCell ref="D22:F22"/>
    <mergeCell ref="D23:F23"/>
    <mergeCell ref="D25:F25"/>
    <mergeCell ref="D21:F21"/>
    <mergeCell ref="B1:H1"/>
    <mergeCell ref="B13:C13"/>
    <mergeCell ref="D13:G13"/>
    <mergeCell ref="D14:E14"/>
    <mergeCell ref="G12:H12"/>
    <mergeCell ref="F14:G14"/>
    <mergeCell ref="C12:E12"/>
    <mergeCell ref="D15:E15"/>
    <mergeCell ref="D16:F16"/>
    <mergeCell ref="D17:F17"/>
    <mergeCell ref="F15:G15"/>
    <mergeCell ref="D20:F20"/>
    <mergeCell ref="D19:F19"/>
  </mergeCells>
  <phoneticPr fontId="9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2025-03-03T16:06:40Z</cp:lastPrinted>
  <dcterms:created xsi:type="dcterms:W3CDTF">2022-10-19T19:05:00Z</dcterms:created>
  <dcterms:modified xsi:type="dcterms:W3CDTF">2025-03-03T16:11:54Z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