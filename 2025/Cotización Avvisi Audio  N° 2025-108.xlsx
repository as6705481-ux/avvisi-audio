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F115574-861A-4D21-B7CB-1F40D374D0E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4" i="1" l="1"/>
  <c r="H35" i="1" s="1"/>
</calcChain>
</file>

<file path=xl/sharedStrings.xml><?xml version="1.0" encoding="utf-8"?>
<sst xmlns="http://schemas.openxmlformats.org/spreadsheetml/2006/main" count="31" uniqueCount="31">
  <si>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</si>
  <si>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</si>
  <si>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</si>
  <si>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</si>
  <si>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</si>
  <si>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</si>
  <si>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</si>
  <si>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</si>
  <si>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</si>
  <si>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</si>
  <si>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</si>
  <si>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</si>
  <si>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</si>
  <si>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</si>
  <si>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</si>
  <si>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</si>
  <si>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</si>
  <si>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>Pantalla 4 x 2.5</t>
  </si>
  <si>
    <t xml:space="preserve">Audio tipo barra </t>
  </si>
  <si>
    <t xml:space="preserve">Consola de audio </t>
  </si>
  <si>
    <t xml:space="preserve">Luces roboticas </t>
  </si>
  <si>
    <t xml:space="preserve">Controlador de luces </t>
  </si>
  <si>
    <t xml:space="preserve">Microfonos Inalambricos </t>
  </si>
  <si>
    <t xml:space="preserve">Tarima de 6 m x 2.5 m a 50 cm </t>
  </si>
  <si>
    <t xml:space="preserve">Eufemio Martinez </t>
  </si>
  <si>
    <t xml:space="preserve">Tegucigalpa </t>
  </si>
  <si>
    <t xml:space="preserve">Salon </t>
  </si>
  <si>
    <t>2025-108</t>
  </si>
  <si>
    <t xml:space="preserve">Secretaria de Salud </t>
  </si>
  <si>
    <t xml:space="preserve">26 de Marzo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</si>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</sst>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64" fontId="6" fillId="3" borderId="10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38</xdr:row>
      <xdr:rowOff>83925</xdr:rowOff>
    </xdr:from>
    <xdr:to>
      <xdr:col>1</xdr:col>
      <xdr:colOff>113617</xdr:colOff>
      <xdr:row>40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105719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714201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32</xdr:row>
      <xdr:rowOff>35608</xdr:rowOff>
    </xdr:from>
    <xdr:to>
      <xdr:col>7</xdr:col>
      <xdr:colOff>1068224</xdr:colOff>
      <xdr:row>42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946449"/>
          <a:ext cx="6807872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41</xdr:row>
      <xdr:rowOff>601411</xdr:rowOff>
    </xdr:from>
    <xdr:to>
      <xdr:col>4</xdr:col>
      <xdr:colOff>168596</xdr:colOff>
      <xdr:row>43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41</xdr:row>
      <xdr:rowOff>612567</xdr:rowOff>
    </xdr:from>
    <xdr:to>
      <xdr:col>7</xdr:col>
      <xdr:colOff>991200</xdr:colOff>
      <xdr:row>45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38</xdr:row>
      <xdr:rowOff>149553</xdr:rowOff>
    </xdr:from>
    <xdr:to>
      <xdr:col>4</xdr:col>
      <xdr:colOff>685751</xdr:colOff>
      <xdr:row>45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topLeftCell="A22" zoomScale="107" zoomScaleNormal="100" zoomScaleSheetLayoutView="112" zoomScalePageLayoutView="107" workbookViewId="0">
      <selection activeCell="G35" sqref="G3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" customWidth="1"/>
    <col min="4" max="4" width="12.88671875" customWidth="1"/>
    <col min="5" max="5" width="16.21875" customWidth="1"/>
    <col min="6" max="6" width="18.21875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17" t="s">
        <v>27</v>
      </c>
    </row>
    <row r="12" spans="2:9" ht="12.6" customHeight="1">
      <c r="B12" s="25" t="s">
        <v>14</v>
      </c>
      <c r="C12" s="25"/>
      <c r="D12" s="29" t="s">
        <v>28</v>
      </c>
      <c r="E12" s="27"/>
      <c r="F12" t="s">
        <v>11</v>
      </c>
      <c r="G12" s="30" t="s">
        <v>24</v>
      </c>
      <c r="H12" s="30"/>
    </row>
    <row r="13" spans="2:9" ht="14.4" customHeight="1">
      <c r="B13" s="25" t="s">
        <v>0</v>
      </c>
      <c r="C13" s="25"/>
      <c r="D13" s="26" t="s">
        <v>25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45738</v>
      </c>
      <c r="C15" s="1" t="s">
        <v>16</v>
      </c>
      <c r="D15" s="33" t="s">
        <v>29</v>
      </c>
      <c r="E15" s="34"/>
      <c r="F15" s="36" t="s">
        <v>26</v>
      </c>
      <c r="G15" s="30"/>
      <c r="H15" s="7"/>
    </row>
    <row r="16" spans="2:9" ht="15.6">
      <c r="B16" s="3" t="s">
        <v>4</v>
      </c>
      <c r="C16" s="3" t="s">
        <v>8</v>
      </c>
      <c r="D16" s="35" t="s">
        <v>5</v>
      </c>
      <c r="E16" s="35"/>
      <c r="F16" s="35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2" t="s">
        <v>17</v>
      </c>
      <c r="E17" s="23"/>
      <c r="F17" s="23"/>
      <c r="G17" s="13"/>
      <c r="H17" s="31">
        <v>20000</v>
      </c>
    </row>
    <row r="18" spans="2:8">
      <c r="B18" s="4">
        <v>2</v>
      </c>
      <c r="C18" s="6">
        <v>1</v>
      </c>
      <c r="D18" s="22" t="s">
        <v>18</v>
      </c>
      <c r="E18" s="23"/>
      <c r="F18" s="23"/>
      <c r="G18" s="14"/>
      <c r="H18" s="31"/>
    </row>
    <row r="19" spans="2:8">
      <c r="B19" s="4">
        <v>1</v>
      </c>
      <c r="C19" s="6">
        <v>1</v>
      </c>
      <c r="D19" s="22" t="s">
        <v>19</v>
      </c>
      <c r="E19" s="23"/>
      <c r="F19" s="23"/>
      <c r="G19" s="15"/>
      <c r="H19" s="31"/>
    </row>
    <row r="20" spans="2:8">
      <c r="B20" s="4">
        <v>4</v>
      </c>
      <c r="C20" s="6">
        <v>1</v>
      </c>
      <c r="D20" s="22" t="s">
        <v>20</v>
      </c>
      <c r="E20" s="23"/>
      <c r="F20" s="23"/>
      <c r="G20" s="14"/>
      <c r="H20" s="31"/>
    </row>
    <row r="21" spans="2:8">
      <c r="B21" s="4">
        <v>1</v>
      </c>
      <c r="C21" s="6">
        <v>1</v>
      </c>
      <c r="D21" s="22" t="s">
        <v>21</v>
      </c>
      <c r="E21" s="23"/>
      <c r="F21" s="23"/>
      <c r="G21" s="14"/>
      <c r="H21" s="31"/>
    </row>
    <row r="22" spans="2:8">
      <c r="B22" s="6">
        <v>2</v>
      </c>
      <c r="C22" s="6">
        <v>1</v>
      </c>
      <c r="D22" s="22" t="s">
        <v>22</v>
      </c>
      <c r="E22" s="23"/>
      <c r="F22" s="23"/>
      <c r="G22" s="14"/>
      <c r="H22" s="31"/>
    </row>
    <row r="23" spans="2:8">
      <c r="B23" s="4">
        <v>1</v>
      </c>
      <c r="C23" s="6">
        <v>1</v>
      </c>
      <c r="D23" s="19" t="s">
        <v>23</v>
      </c>
      <c r="E23" s="20"/>
      <c r="F23" s="21"/>
      <c r="G23" s="14"/>
      <c r="H23" s="31"/>
    </row>
    <row r="24" spans="2:8">
      <c r="B24" s="4"/>
      <c r="C24" s="6"/>
      <c r="D24" s="19"/>
      <c r="E24" s="20"/>
      <c r="F24" s="21"/>
      <c r="G24" s="14"/>
      <c r="H24" s="31"/>
    </row>
    <row r="25" spans="2:8">
      <c r="B25" s="4"/>
      <c r="C25" s="6"/>
      <c r="D25" s="19"/>
      <c r="E25" s="20"/>
      <c r="F25" s="21"/>
      <c r="G25" s="14"/>
      <c r="H25" s="31"/>
    </row>
    <row r="26" spans="2:8">
      <c r="B26" s="4"/>
      <c r="C26" s="6"/>
      <c r="D26" s="19"/>
      <c r="E26" s="20"/>
      <c r="F26" s="21"/>
      <c r="G26" s="9"/>
      <c r="H26" s="31"/>
    </row>
    <row r="27" spans="2:8">
      <c r="B27" s="4"/>
      <c r="C27" s="6"/>
      <c r="D27" s="19"/>
      <c r="E27" s="20"/>
      <c r="F27" s="21"/>
      <c r="G27" s="9"/>
      <c r="H27" s="31"/>
    </row>
    <row r="28" spans="2:8">
      <c r="B28" s="4"/>
      <c r="C28" s="6"/>
      <c r="D28" s="19"/>
      <c r="E28" s="20"/>
      <c r="F28" s="21"/>
      <c r="G28" s="9"/>
      <c r="H28" s="31"/>
    </row>
    <row r="29" spans="2:8">
      <c r="B29" s="4"/>
      <c r="C29" s="6"/>
      <c r="D29" s="19"/>
      <c r="E29" s="20"/>
      <c r="F29" s="21"/>
      <c r="G29" s="9"/>
      <c r="H29" s="31"/>
    </row>
    <row r="30" spans="2:8">
      <c r="B30" s="4"/>
      <c r="C30" s="6"/>
      <c r="D30" s="19"/>
      <c r="E30" s="20"/>
      <c r="F30" s="21"/>
      <c r="G30" s="9"/>
      <c r="H30" s="31"/>
    </row>
    <row r="31" spans="2:8">
      <c r="B31" s="4"/>
      <c r="C31" s="6"/>
      <c r="D31" s="19"/>
      <c r="E31" s="20"/>
      <c r="F31" s="21"/>
      <c r="G31" s="9"/>
      <c r="H31" s="31"/>
    </row>
    <row r="32" spans="2:8">
      <c r="B32" s="4"/>
      <c r="C32" s="6"/>
      <c r="D32" s="19"/>
      <c r="E32" s="20"/>
      <c r="F32" s="21"/>
      <c r="G32" s="9"/>
      <c r="H32" s="32"/>
    </row>
    <row r="33" spans="2:8">
      <c r="D33" s="18"/>
      <c r="E33" s="18"/>
      <c r="F33" s="18"/>
      <c r="G33" s="10" t="s">
        <v>9</v>
      </c>
      <c r="H33" s="11">
        <f>SUM(H17:H32)</f>
        <v>20000</v>
      </c>
    </row>
    <row r="34" spans="2:8">
      <c r="G34" s="10" t="s">
        <v>15</v>
      </c>
      <c r="H34" s="12">
        <f>H33*0.15</f>
        <v>3000</v>
      </c>
    </row>
    <row r="35" spans="2:8">
      <c r="G35" s="10" t="s">
        <v>30</v>
      </c>
      <c r="H35" s="12">
        <f>H34+H33</f>
        <v>23000</v>
      </c>
    </row>
    <row r="42" spans="2:8" ht="62.4" customHeight="1"/>
    <row r="44" spans="2:8" ht="27.6" customHeight="1"/>
    <row r="45" spans="2:8" ht="5.4" customHeight="1">
      <c r="B45" s="5"/>
      <c r="C45" s="5"/>
      <c r="D45" s="5"/>
      <c r="E45" s="5"/>
      <c r="F45" s="5"/>
      <c r="G45" s="5"/>
      <c r="H45" s="5"/>
    </row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9">
    <mergeCell ref="H17:H32"/>
    <mergeCell ref="D15:E15"/>
    <mergeCell ref="D16:F16"/>
    <mergeCell ref="D17:F17"/>
    <mergeCell ref="F15:G15"/>
    <mergeCell ref="D18:F18"/>
    <mergeCell ref="D19:F19"/>
    <mergeCell ref="D32:F32"/>
    <mergeCell ref="B1:H1"/>
    <mergeCell ref="B12:C12"/>
    <mergeCell ref="B13:C13"/>
    <mergeCell ref="D13:G13"/>
    <mergeCell ref="D14:E14"/>
    <mergeCell ref="D12:E12"/>
    <mergeCell ref="G12:H12"/>
    <mergeCell ref="F14:G14"/>
    <mergeCell ref="D33:F33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D29:F29"/>
    <mergeCell ref="D30:F30"/>
    <mergeCell ref="D31:F31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2025-03-22T16:57:51Z</cp:lastPrinted>
  <dcterms:created xsi:type="dcterms:W3CDTF">2022-10-19T19:05:00Z</dcterms:created>
  <dcterms:modified xsi:type="dcterms:W3CDTF">2025-03-22T17:05:51Z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