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A90FE38C-2A48-4C81-A067-62CDBADC93C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26" i="1"/>
  <c r="H17" i="1"/>
  <c r="H18" i="1"/>
  <c r="H19" i="1"/>
  <c r="H20" i="1"/>
  <c r="H21" i="1"/>
  <c r="H22" i="1"/>
  <c r="H23" i="1"/>
  <c r="H16" i="1"/>
  <c r="H27" i="1" l="1"/>
  <c r="H28" i="1" s="1"/>
  <c r="H29" i="1" l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<sst xmlns="http://schemas.openxmlformats.org/spreadsheetml/2006/main" count="36" uniqueCount="35">
  <si>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</si>
  <si>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</si>
  <si>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</si>
  <si>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</si>
  <si>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</si>
  <si>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</si>
  <si>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</si>
  <si>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</si>
  <si>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</si>
  <si>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</si>
  <si>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</si>
  <si>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</si>
  <si>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</si>
  <si>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</si>
  <si>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</si>
  <si>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 xml:space="preserve">1 dia </t>
  </si>
  <si>
    <t>ISV</t>
  </si>
  <si>
    <t>SubTotal</t>
  </si>
  <si>
    <t>Pantalla led 6 x 3 metros P 3.91</t>
  </si>
  <si>
    <t xml:space="preserve">Tegucigalpa / Mall Multiplaza </t>
  </si>
  <si>
    <t xml:space="preserve">No definido </t>
  </si>
  <si>
    <t xml:space="preserve">Lanzamiento de Marca </t>
  </si>
  <si>
    <t xml:space="preserve">4 de agosto </t>
  </si>
  <si>
    <t xml:space="preserve">Audio tipo barra para eventos corporativos </t>
  </si>
  <si>
    <t>Microfonos Inalambricos Shure sm58</t>
  </si>
  <si>
    <t xml:space="preserve">Mesas cocteleras con mantel fusia </t>
  </si>
  <si>
    <t xml:space="preserve">Tarima de 8 x 2.50 metros </t>
  </si>
  <si>
    <t xml:space="preserve">Boquitas en cristaleria </t>
  </si>
  <si>
    <t xml:space="preserve">Meseros </t>
  </si>
  <si>
    <t xml:space="preserve">Cocteles </t>
  </si>
  <si>
    <t xml:space="preserve">barra para cocteles </t>
  </si>
  <si>
    <t xml:space="preserve">Botellas de Agua </t>
  </si>
  <si>
    <t>Cristian Alcides Portillo</t>
  </si>
  <si>
    <t xml:space="preserve">Carlos Cruz </t>
  </si>
  <si>
    <t>2025-212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</si>
</sst>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4" fillId="2" borderId="8" xfId="1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6" fillId="3" borderId="3" xfId="2" applyBorder="1" applyAlignment="1"/>
    <xf numFmtId="0" fontId="1" fillId="0" borderId="1" xfId="0" applyFont="1" applyBorder="1" applyAlignment="1">
      <alignment horizontal="left"/>
    </xf>
    <xf numFmtId="0" fontId="6" fillId="3" borderId="3" xfId="2" applyBorder="1" applyAlignment="1">
      <alignment horizontal="center" vertical="center"/>
    </xf>
    <xf numFmtId="44" fontId="6" fillId="3" borderId="3" xfId="2" applyNumberFormat="1" applyBorder="1" applyAlignment="1"/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6" fillId="3" borderId="6" xfId="2" applyBorder="1" applyAlignment="1">
      <alignment horizontal="left" vertical="top"/>
    </xf>
    <xf numFmtId="0" fontId="6" fillId="3" borderId="4" xfId="2" applyBorder="1" applyAlignment="1">
      <alignment horizontal="left" vertical="top"/>
    </xf>
    <xf numFmtId="0" fontId="6" fillId="3" borderId="6" xfId="2" applyBorder="1" applyAlignment="1">
      <alignment vertical="center"/>
    </xf>
    <xf numFmtId="0" fontId="6" fillId="3" borderId="4" xfId="2" applyBorder="1" applyAlignment="1">
      <alignment vertical="center"/>
    </xf>
    <xf numFmtId="44" fontId="6" fillId="3" borderId="3" xfId="3" applyFill="1" applyBorder="1" applyAlignment="1"/>
    <xf numFmtId="0" fontId="10" fillId="3" borderId="5" xfId="2" applyFont="1" applyBorder="1" applyAlignment="1">
      <alignment horizontal="center"/>
    </xf>
    <xf numFmtId="0" fontId="10" fillId="3" borderId="6" xfId="2" applyFont="1" applyBorder="1" applyAlignment="1">
      <alignment horizontal="center"/>
    </xf>
    <xf numFmtId="0" fontId="10" fillId="3" borderId="4" xfId="2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3" borderId="5" xfId="2" applyFont="1" applyBorder="1" applyAlignment="1">
      <alignment horizontal="left"/>
    </xf>
    <xf numFmtId="0" fontId="1" fillId="3" borderId="6" xfId="2" applyFont="1" applyBorder="1" applyAlignment="1">
      <alignment horizontal="left"/>
    </xf>
    <xf numFmtId="0" fontId="1" fillId="3" borderId="4" xfId="2" applyFont="1" applyBorder="1" applyAlignment="1">
      <alignment horizontal="left"/>
    </xf>
    <xf numFmtId="0" fontId="1" fillId="3" borderId="5" xfId="2" applyFont="1" applyBorder="1" applyAlignment="1">
      <alignment horizontal="left" vertical="top"/>
    </xf>
    <xf numFmtId="0" fontId="1" fillId="3" borderId="5" xfId="2" applyFont="1" applyBorder="1" applyAlignment="1">
      <alignment vertic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994766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7121</xdr:colOff>
      <xdr:row>0</xdr:row>
      <xdr:rowOff>55739</xdr:rowOff>
    </xdr:from>
    <xdr:to>
      <xdr:col>8</xdr:col>
      <xdr:colOff>16006</xdr:colOff>
      <xdr:row>7</xdr:row>
      <xdr:rowOff>94510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121" y="55739"/>
          <a:ext cx="7123259" cy="1334883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26</xdr:row>
      <xdr:rowOff>163794</xdr:rowOff>
    </xdr:from>
    <xdr:to>
      <xdr:col>7</xdr:col>
      <xdr:colOff>847459</xdr:colOff>
      <xdr:row>37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35</xdr:row>
      <xdr:rowOff>1228103</xdr:rowOff>
    </xdr:from>
    <xdr:to>
      <xdr:col>4</xdr:col>
      <xdr:colOff>182839</xdr:colOff>
      <xdr:row>41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35</xdr:row>
      <xdr:rowOff>1253501</xdr:rowOff>
    </xdr:from>
    <xdr:to>
      <xdr:col>8</xdr:col>
      <xdr:colOff>52800</xdr:colOff>
      <xdr:row>42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185161</xdr:rowOff>
    </xdr:from>
    <xdr:to>
      <xdr:col>4</xdr:col>
      <xdr:colOff>1032164</xdr:colOff>
      <xdr:row>37</xdr:row>
      <xdr:rowOff>249254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54656"/>
          <a:ext cx="3531809" cy="1858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5"/>
  <sheetViews>
    <sheetView tabSelected="1" view="pageLayout" topLeftCell="A23" zoomScale="107" zoomScaleNormal="62" zoomScaleSheetLayoutView="112" zoomScalePageLayoutView="107" workbookViewId="0">
      <selection activeCell="H6" sqref="H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20.77734375" customWidth="1"/>
    <col min="7" max="7" width="14.109375" customWidth="1"/>
    <col min="8" max="8" width="12.77734375" customWidth="1"/>
    <col min="9" max="9" width="9.21875" customWidth="1"/>
  </cols>
  <sheetData>
    <row r="5" spans="2:9">
      <c r="H5" s="5" t="s">
        <v>11</v>
      </c>
      <c r="I5" s="1"/>
    </row>
    <row r="6" spans="2:9">
      <c r="H6" s="19" t="s">
        <v>34</v>
      </c>
    </row>
    <row r="11" spans="2:9" ht="12.6" customHeight="1">
      <c r="B11" s="12" t="s">
        <v>13</v>
      </c>
      <c r="C11" s="12"/>
      <c r="D11" s="22" t="s">
        <v>32</v>
      </c>
      <c r="E11" s="15"/>
      <c r="F11" t="s">
        <v>10</v>
      </c>
      <c r="G11" s="35" t="s">
        <v>33</v>
      </c>
      <c r="H11" s="11"/>
    </row>
    <row r="12" spans="2:9" ht="14.4" customHeight="1">
      <c r="B12" s="13" t="s">
        <v>0</v>
      </c>
      <c r="C12" s="13"/>
      <c r="D12" s="36" t="s">
        <v>19</v>
      </c>
      <c r="E12" s="17"/>
      <c r="F12" s="1" t="s">
        <v>14</v>
      </c>
      <c r="G12" s="16"/>
      <c r="H12" s="16"/>
    </row>
    <row r="13" spans="2:9">
      <c r="B13" s="1" t="s">
        <v>1</v>
      </c>
      <c r="C13" s="1" t="s">
        <v>2</v>
      </c>
      <c r="D13" s="14" t="s">
        <v>3</v>
      </c>
      <c r="E13" s="14"/>
      <c r="F13" s="12" t="s">
        <v>9</v>
      </c>
      <c r="G13" s="12"/>
      <c r="H13" s="1" t="s">
        <v>12</v>
      </c>
    </row>
    <row r="14" spans="2:9">
      <c r="B14" s="2">
        <v>45489</v>
      </c>
      <c r="C14" s="1" t="s">
        <v>15</v>
      </c>
      <c r="D14" s="38" t="s">
        <v>22</v>
      </c>
      <c r="E14" s="10"/>
      <c r="F14" s="35" t="s">
        <v>21</v>
      </c>
      <c r="G14" s="11"/>
      <c r="H14" s="37" t="s">
        <v>20</v>
      </c>
    </row>
    <row r="15" spans="2:9" ht="15.6">
      <c r="B15" s="9" t="s">
        <v>4</v>
      </c>
      <c r="C15" s="9" t="s">
        <v>8</v>
      </c>
      <c r="D15" s="20" t="s">
        <v>5</v>
      </c>
      <c r="E15" s="20"/>
      <c r="F15" s="20"/>
      <c r="G15" s="9" t="s">
        <v>6</v>
      </c>
      <c r="H15" s="9" t="s">
        <v>7</v>
      </c>
    </row>
    <row r="16" spans="2:9">
      <c r="B16" s="3">
        <v>1</v>
      </c>
      <c r="C16" s="23">
        <v>1</v>
      </c>
      <c r="D16" s="39" t="s">
        <v>18</v>
      </c>
      <c r="E16" s="40"/>
      <c r="F16" s="41"/>
      <c r="G16" s="31">
        <v>32000</v>
      </c>
      <c r="H16" s="31">
        <f>G16*B16*C16</f>
        <v>32000</v>
      </c>
    </row>
    <row r="17" spans="2:8">
      <c r="B17" s="3">
        <v>1</v>
      </c>
      <c r="C17" s="23">
        <v>1</v>
      </c>
      <c r="D17" s="39" t="s">
        <v>23</v>
      </c>
      <c r="E17" s="25"/>
      <c r="F17" s="26"/>
      <c r="G17" s="24">
        <v>7000</v>
      </c>
      <c r="H17" s="31">
        <f t="shared" ref="H17:H26" si="0">G17*B17*C17</f>
        <v>7000</v>
      </c>
    </row>
    <row r="18" spans="2:8">
      <c r="B18" s="3">
        <v>2</v>
      </c>
      <c r="C18" s="23">
        <v>1</v>
      </c>
      <c r="D18" s="39" t="s">
        <v>24</v>
      </c>
      <c r="E18" s="25"/>
      <c r="F18" s="26"/>
      <c r="G18" s="24">
        <v>500</v>
      </c>
      <c r="H18" s="31">
        <f t="shared" si="0"/>
        <v>1000</v>
      </c>
    </row>
    <row r="19" spans="2:8">
      <c r="B19" s="3">
        <v>10</v>
      </c>
      <c r="C19" s="23">
        <v>1</v>
      </c>
      <c r="D19" s="42" t="s">
        <v>25</v>
      </c>
      <c r="E19" s="27"/>
      <c r="F19" s="28"/>
      <c r="G19" s="24">
        <v>500</v>
      </c>
      <c r="H19" s="31">
        <f t="shared" si="0"/>
        <v>5000</v>
      </c>
    </row>
    <row r="20" spans="2:8">
      <c r="B20" s="3">
        <v>1</v>
      </c>
      <c r="C20" s="3">
        <v>1</v>
      </c>
      <c r="D20" s="39" t="s">
        <v>26</v>
      </c>
      <c r="E20" s="25"/>
      <c r="F20" s="26"/>
      <c r="G20" s="24">
        <v>11000</v>
      </c>
      <c r="H20" s="31">
        <f t="shared" si="0"/>
        <v>11000</v>
      </c>
    </row>
    <row r="21" spans="2:8">
      <c r="B21" s="23">
        <v>60</v>
      </c>
      <c r="C21" s="23">
        <v>1</v>
      </c>
      <c r="D21" s="43" t="s">
        <v>27</v>
      </c>
      <c r="E21" s="29"/>
      <c r="F21" s="30"/>
      <c r="G21" s="24">
        <v>170</v>
      </c>
      <c r="H21" s="31">
        <f t="shared" si="0"/>
        <v>10200</v>
      </c>
    </row>
    <row r="22" spans="2:8">
      <c r="B22" s="3">
        <v>2</v>
      </c>
      <c r="C22" s="3">
        <v>1</v>
      </c>
      <c r="D22" s="39" t="s">
        <v>28</v>
      </c>
      <c r="E22" s="25"/>
      <c r="F22" s="26"/>
      <c r="G22" s="24">
        <v>800</v>
      </c>
      <c r="H22" s="31">
        <f t="shared" si="0"/>
        <v>1600</v>
      </c>
    </row>
    <row r="23" spans="2:8">
      <c r="B23" s="3">
        <v>65</v>
      </c>
      <c r="C23" s="3">
        <v>1</v>
      </c>
      <c r="D23" s="39" t="s">
        <v>29</v>
      </c>
      <c r="E23" s="25"/>
      <c r="F23" s="26"/>
      <c r="G23" s="24">
        <v>150</v>
      </c>
      <c r="H23" s="31">
        <f t="shared" si="0"/>
        <v>9750</v>
      </c>
    </row>
    <row r="24" spans="2:8">
      <c r="B24" s="3">
        <v>1</v>
      </c>
      <c r="C24" s="3">
        <v>1</v>
      </c>
      <c r="D24" s="39" t="s">
        <v>30</v>
      </c>
      <c r="E24" s="25"/>
      <c r="F24" s="26"/>
      <c r="G24" s="24">
        <v>2500</v>
      </c>
      <c r="H24" s="31">
        <f t="shared" si="0"/>
        <v>2500</v>
      </c>
    </row>
    <row r="25" spans="2:8">
      <c r="B25" s="3">
        <v>20</v>
      </c>
      <c r="C25" s="3">
        <v>1</v>
      </c>
      <c r="D25" s="39" t="s">
        <v>31</v>
      </c>
      <c r="E25" s="25"/>
      <c r="F25" s="26"/>
      <c r="G25" s="24">
        <v>35</v>
      </c>
      <c r="H25" s="31">
        <f t="shared" si="0"/>
        <v>700</v>
      </c>
    </row>
    <row r="26" spans="2:8">
      <c r="B26" s="21"/>
      <c r="C26" s="21"/>
      <c r="D26" s="32"/>
      <c r="E26" s="33"/>
      <c r="F26" s="34"/>
      <c r="G26" s="24"/>
      <c r="H26" s="31">
        <f t="shared" si="0"/>
        <v>0</v>
      </c>
    </row>
    <row r="27" spans="2:8">
      <c r="D27" s="18"/>
      <c r="E27" s="18"/>
      <c r="F27" s="18"/>
      <c r="G27" s="6" t="s">
        <v>17</v>
      </c>
      <c r="H27" s="7">
        <f>SUM(H16:H26)</f>
        <v>80750</v>
      </c>
    </row>
    <row r="28" spans="2:8">
      <c r="G28" s="6" t="s">
        <v>16</v>
      </c>
      <c r="H28" s="8">
        <f>H27*0.15</f>
        <v>12112.5</v>
      </c>
    </row>
    <row r="29" spans="2:8">
      <c r="G29" s="6" t="s">
        <v>7</v>
      </c>
      <c r="H29" s="8">
        <f>H27+H28</f>
        <v>92862.5</v>
      </c>
    </row>
    <row r="36" spans="2:8" ht="126.6" customHeight="1"/>
    <row r="38" spans="2:8" ht="27.6" customHeight="1"/>
    <row r="39" spans="2:8" ht="5.4" customHeight="1">
      <c r="B39" s="4"/>
      <c r="C39" s="4"/>
      <c r="D39" s="4"/>
      <c r="E39" s="4"/>
      <c r="F39" s="4"/>
      <c r="G39" s="4"/>
      <c r="H39" s="4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3">
    <mergeCell ref="D26:F26"/>
    <mergeCell ref="D25:F25"/>
    <mergeCell ref="D23:F23"/>
    <mergeCell ref="D24:F24"/>
    <mergeCell ref="D20:F20"/>
    <mergeCell ref="D21:F21"/>
    <mergeCell ref="D22:F22"/>
    <mergeCell ref="D16:F16"/>
    <mergeCell ref="D17:F17"/>
    <mergeCell ref="D18:F18"/>
    <mergeCell ref="D19:F19"/>
    <mergeCell ref="D27:F27"/>
    <mergeCell ref="B11:C11"/>
    <mergeCell ref="B12:C12"/>
    <mergeCell ref="D13:E13"/>
    <mergeCell ref="D11:E11"/>
    <mergeCell ref="G11:H11"/>
    <mergeCell ref="F13:G13"/>
    <mergeCell ref="G12:H12"/>
    <mergeCell ref="D12:E12"/>
    <mergeCell ref="D14:E14"/>
    <mergeCell ref="D15:F15"/>
    <mergeCell ref="F14:G14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2025-07-17T00:36:25Z</cp:lastPrinted>
  <dcterms:created xsi:type="dcterms:W3CDTF">2022-10-19T19:05:00Z</dcterms:created>
  <dcterms:modified xsi:type="dcterms:W3CDTF">2025-07-17T00:37:45Z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