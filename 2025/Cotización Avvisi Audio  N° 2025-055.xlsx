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28B2B976-8A05-4352-A9AF-7E33A07CF198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18" i="1"/>
  <c r="H17" i="1"/>
  <c r="H20" i="1" l="1"/>
  <c r="H21" i="1" s="1"/>
  <c r="H22" i="1" s="1"/>
</calcChain>
</file>

<file path=xl/sharedStrings.xml><?xml version="1.0" encoding="utf-8"?>
<sst xmlns="http://schemas.openxmlformats.org/spreadsheetml/2006/main" count="26" uniqueCount="25">
  <si>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</si>
  <si>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</si>
  <si>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</si>
  <si>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</si>
  <si>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</si>
  <si>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</si>
  <si>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</si>
  <si>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</si>
  <si>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</si>
  <si>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</si>
  <si>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</si>
  <si>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</si>
  <si>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</si>
  <si>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</si>
  <si>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</si>
  <si>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</si>
  <si>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>Tegucigalpa</t>
  </si>
  <si>
    <t>Audio Profesional</t>
  </si>
  <si>
    <t>Corporativo</t>
  </si>
  <si>
    <t>2025-054</t>
  </si>
  <si>
    <t>Eufemio Martinez</t>
  </si>
  <si>
    <t xml:space="preserve">Cámara Hondureña de la Industria de la Construcción - CHICO </t>
  </si>
  <si>
    <t xml:space="preserve">28 de Febrero </t>
  </si>
  <si>
    <t>Microfonos inalambricos</t>
  </si>
  <si>
    <t xml:space="preserve">Pantalla de 55"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</si>
</sst>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L&quot;* #,##0.00_-;\-&quot;L&quot;* #,##0.00_-;_-&quot;L&quot;* &quot;-&quot;??_-;_-@_-"/>
    <numFmt numFmtId="164" formatCode="_-[$L-480A]* #,##0.00_-;\-[$L-480A]* #,##0.00_-;_-[$L-480A]* &quot;-&quot;??_-;_-@_-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4" fillId="4" borderId="0" applyNumberFormat="0" applyBorder="0" applyAlignment="0" applyProtection="0"/>
    <xf numFmtId="0" fontId="5" fillId="3" borderId="0" applyNumberFormat="0" applyBorder="0" applyAlignment="0" applyProtection="0"/>
    <xf numFmtId="44" fontId="5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7" fillId="2" borderId="3" xfId="2" applyFont="1" applyFill="1" applyBorder="1" applyAlignment="1">
      <alignment horizontal="center"/>
    </xf>
    <xf numFmtId="164" fontId="7" fillId="2" borderId="3" xfId="2" applyNumberFormat="1" applyFont="1" applyFill="1" applyBorder="1"/>
    <xf numFmtId="164" fontId="8" fillId="2" borderId="3" xfId="0" applyNumberFormat="1" applyFont="1" applyFill="1" applyBorder="1"/>
    <xf numFmtId="0" fontId="5" fillId="3" borderId="3" xfId="2" applyBorder="1" applyAlignment="1">
      <alignment horizontal="center" vertical="center"/>
    </xf>
    <xf numFmtId="0" fontId="5" fillId="3" borderId="3" xfId="2" applyBorder="1" applyAlignment="1">
      <alignment horizontal="center"/>
    </xf>
    <xf numFmtId="44" fontId="5" fillId="3" borderId="3" xfId="3" applyFill="1" applyBorder="1" applyAlignment="1"/>
    <xf numFmtId="0" fontId="0" fillId="3" borderId="5" xfId="2" applyFont="1" applyBorder="1" applyAlignment="1">
      <alignment horizontal="left"/>
    </xf>
    <xf numFmtId="0" fontId="5" fillId="3" borderId="6" xfId="2" applyBorder="1" applyAlignment="1">
      <alignment horizontal="left"/>
    </xf>
    <xf numFmtId="0" fontId="5" fillId="3" borderId="4" xfId="2" applyBorder="1" applyAlignment="1">
      <alignment horizontal="left"/>
    </xf>
    <xf numFmtId="44" fontId="5" fillId="3" borderId="8" xfId="3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5" fillId="3" borderId="6" xfId="2" applyBorder="1" applyAlignment="1">
      <alignment horizontal="left"/>
    </xf>
    <xf numFmtId="0" fontId="5" fillId="3" borderId="4" xfId="2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/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1" fillId="0" borderId="0" xfId="0" applyFont="1" applyBorder="1" applyAlignment="1"/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25</xdr:row>
      <xdr:rowOff>83925</xdr:rowOff>
    </xdr:from>
    <xdr:to>
      <xdr:col>1</xdr:col>
      <xdr:colOff>113617</xdr:colOff>
      <xdr:row>27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6699" y="4620971"/>
          <a:ext cx="50716" cy="329402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6135"/>
          <a:ext cx="6958292" cy="1311102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19</xdr:row>
      <xdr:rowOff>163794</xdr:rowOff>
    </xdr:from>
    <xdr:to>
      <xdr:col>6</xdr:col>
      <xdr:colOff>783365</xdr:colOff>
      <xdr:row>30</xdr:row>
      <xdr:rowOff>55382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4593364"/>
          <a:ext cx="5647346" cy="25336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28</xdr:row>
      <xdr:rowOff>601411</xdr:rowOff>
    </xdr:from>
    <xdr:to>
      <xdr:col>4</xdr:col>
      <xdr:colOff>168596</xdr:colOff>
      <xdr:row>30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28</xdr:row>
      <xdr:rowOff>612567</xdr:rowOff>
    </xdr:from>
    <xdr:to>
      <xdr:col>7</xdr:col>
      <xdr:colOff>991200</xdr:colOff>
      <xdr:row>32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25</xdr:row>
      <xdr:rowOff>149553</xdr:rowOff>
    </xdr:from>
    <xdr:to>
      <xdr:col>4</xdr:col>
      <xdr:colOff>628779</xdr:colOff>
      <xdr:row>32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8"/>
  <sheetViews>
    <sheetView tabSelected="1" view="pageLayout" topLeftCell="A2" zoomScale="109" zoomScaleNormal="100" zoomScaleSheetLayoutView="112" zoomScalePageLayoutView="109" workbookViewId="0">
      <selection activeCell="H23" sqref="H23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9.88671875" customWidth="1"/>
    <col min="6" max="6" width="17" customWidth="1"/>
    <col min="7" max="7" width="12" customWidth="1"/>
    <col min="8" max="8" width="15.44140625" customWidth="1"/>
    <col min="9" max="9" width="9.21875" customWidth="1"/>
  </cols>
  <sheetData>
    <row r="1" spans="2:9">
      <c r="B1" s="23"/>
      <c r="C1" s="23"/>
      <c r="D1" s="23"/>
      <c r="E1" s="23"/>
      <c r="F1" s="23"/>
      <c r="G1" s="23"/>
      <c r="H1" s="23"/>
    </row>
    <row r="6" spans="2:9">
      <c r="H6" s="6" t="s">
        <v>12</v>
      </c>
      <c r="I6" s="1"/>
    </row>
    <row r="7" spans="2:9">
      <c r="H7" s="28" t="s">
        <v>19</v>
      </c>
    </row>
    <row r="12" spans="2:9" ht="12.6" customHeight="1">
      <c r="B12" s="32" t="s">
        <v>14</v>
      </c>
      <c r="C12" s="33" t="s">
        <v>21</v>
      </c>
      <c r="D12" s="33"/>
      <c r="E12" s="33"/>
      <c r="F12" t="s">
        <v>11</v>
      </c>
      <c r="G12" s="22" t="s">
        <v>20</v>
      </c>
      <c r="H12" s="22"/>
    </row>
    <row r="13" spans="2:9" ht="14.4" customHeight="1">
      <c r="B13" s="24" t="s">
        <v>0</v>
      </c>
      <c r="C13" s="24"/>
      <c r="D13" s="29" t="s">
        <v>16</v>
      </c>
      <c r="E13" s="25"/>
      <c r="F13" s="25"/>
      <c r="G13" s="25"/>
    </row>
    <row r="14" spans="2:9">
      <c r="B14" s="1" t="s">
        <v>1</v>
      </c>
      <c r="C14" s="1" t="s">
        <v>2</v>
      </c>
      <c r="D14" s="26" t="s">
        <v>3</v>
      </c>
      <c r="E14" s="26"/>
      <c r="F14" s="26" t="s">
        <v>10</v>
      </c>
      <c r="G14" s="26"/>
      <c r="H14" s="1" t="s">
        <v>13</v>
      </c>
    </row>
    <row r="15" spans="2:9">
      <c r="B15" s="2">
        <v>45693</v>
      </c>
      <c r="C15" s="1"/>
      <c r="D15" s="30" t="s">
        <v>22</v>
      </c>
      <c r="E15" s="17"/>
      <c r="F15" s="31" t="s">
        <v>18</v>
      </c>
      <c r="G15" s="22"/>
      <c r="H15" s="5">
        <v>60</v>
      </c>
    </row>
    <row r="16" spans="2:9" ht="15.6">
      <c r="B16" s="3" t="s">
        <v>4</v>
      </c>
      <c r="C16" s="3" t="s">
        <v>8</v>
      </c>
      <c r="D16" s="18" t="s">
        <v>5</v>
      </c>
      <c r="E16" s="18"/>
      <c r="F16" s="18"/>
      <c r="G16" s="3" t="s">
        <v>6</v>
      </c>
      <c r="H16" s="3" t="s">
        <v>7</v>
      </c>
    </row>
    <row r="17" spans="2:8">
      <c r="B17" s="10">
        <v>1</v>
      </c>
      <c r="C17" s="10">
        <v>1</v>
      </c>
      <c r="D17" s="19" t="s">
        <v>17</v>
      </c>
      <c r="E17" s="20"/>
      <c r="F17" s="21"/>
      <c r="G17" s="16">
        <v>1500</v>
      </c>
      <c r="H17" s="16">
        <f>G17*B17*C17</f>
        <v>1500</v>
      </c>
    </row>
    <row r="18" spans="2:8">
      <c r="B18" s="10">
        <v>2</v>
      </c>
      <c r="C18" s="10">
        <v>1</v>
      </c>
      <c r="D18" s="13" t="s">
        <v>23</v>
      </c>
      <c r="E18" s="14"/>
      <c r="F18" s="15"/>
      <c r="G18" s="16">
        <v>150</v>
      </c>
      <c r="H18" s="16">
        <f>G18*B18*C18</f>
        <v>300</v>
      </c>
    </row>
    <row r="19" spans="2:8">
      <c r="B19" s="11">
        <v>1</v>
      </c>
      <c r="C19" s="10">
        <v>1</v>
      </c>
      <c r="D19" s="19" t="s">
        <v>24</v>
      </c>
      <c r="E19" s="20"/>
      <c r="F19" s="21"/>
      <c r="G19" s="12">
        <v>1500</v>
      </c>
      <c r="H19" s="16">
        <f>G19*B19*C19</f>
        <v>1500</v>
      </c>
    </row>
    <row r="20" spans="2:8">
      <c r="D20" s="27"/>
      <c r="E20" s="27"/>
      <c r="F20" s="27"/>
      <c r="G20" s="7" t="s">
        <v>9</v>
      </c>
      <c r="H20" s="8">
        <f>SUM(H17:H19)</f>
        <v>3300</v>
      </c>
    </row>
    <row r="21" spans="2:8">
      <c r="G21" s="7" t="s">
        <v>15</v>
      </c>
      <c r="H21" s="9">
        <f>H20*0.15</f>
        <v>495</v>
      </c>
    </row>
    <row r="22" spans="2:8">
      <c r="G22" s="7" t="s">
        <v>9</v>
      </c>
      <c r="H22" s="9">
        <f>H21+H20</f>
        <v>3795</v>
      </c>
    </row>
    <row r="29" spans="2:8" ht="62.4" customHeight="1"/>
    <row r="31" spans="2:8" ht="27.6" customHeight="1"/>
    <row r="32" spans="2:8" ht="5.4" customHeight="1">
      <c r="B32" s="4"/>
      <c r="C32" s="4"/>
      <c r="D32" s="4"/>
      <c r="E32" s="4"/>
      <c r="F32" s="4"/>
      <c r="G32" s="4"/>
      <c r="H32" s="4"/>
    </row>
    <row r="34" ht="25.2" customHeight="1"/>
    <row r="41" ht="21" customHeight="1"/>
    <row r="43" ht="1.95" customHeight="1"/>
    <row r="44" ht="7.95" customHeight="1"/>
    <row r="45" ht="16.05" customHeight="1"/>
    <row r="47" ht="6" customHeight="1"/>
    <row r="48" ht="9.75" customHeight="1"/>
  </sheetData>
  <mergeCells count="12">
    <mergeCell ref="D20:F20"/>
    <mergeCell ref="B1:H1"/>
    <mergeCell ref="B13:C13"/>
    <mergeCell ref="D13:G13"/>
    <mergeCell ref="D14:E14"/>
    <mergeCell ref="G12:H12"/>
    <mergeCell ref="F14:G14"/>
    <mergeCell ref="D15:E15"/>
    <mergeCell ref="D16:F16"/>
    <mergeCell ref="D17:F17"/>
    <mergeCell ref="F15:G15"/>
    <mergeCell ref="D19:F19"/>
  </mergeCells>
  <phoneticPr fontId="6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2025-02-05T22:45:22Z</cp:lastPrinted>
  <dcterms:created xsi:type="dcterms:W3CDTF">2022-10-19T19:05:00Z</dcterms:created>
  <dcterms:modified xsi:type="dcterms:W3CDTF">2025-02-06T02:20:19Z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