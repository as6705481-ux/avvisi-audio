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9D5B079-96E5-44A9-8E07-EFA7DC2FF62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 l="1"/>
  <c r="H19" i="1" s="1"/>
  <c r="H20" i="1" s="1"/>
</calcChain>
</file>

<file path=xl/sharedStrings.xml><?xml version="1.0" encoding="utf-8"?>
<sst xmlns="http://schemas.openxmlformats.org/spreadsheetml/2006/main" count="22" uniqueCount="21">
  <si>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</si>
  <si>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</si>
  <si>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</si>
  <si>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</si>
  <si>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</si>
  <si>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</si>
  <si>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</si>
  <si>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</si>
  <si>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</si>
  <si>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</si>
  <si>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</si>
  <si>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</si>
  <si>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</si>
  <si>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</si>
  <si>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</si>
  <si>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</si>
  <si>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>Publicistas SA</t>
  </si>
  <si>
    <t>Tegucigalpa</t>
  </si>
  <si>
    <t xml:space="preserve">Maquinas de confeti </t>
  </si>
  <si>
    <t>2025-019</t>
  </si>
  <si>
    <t>RTN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</si>
</sst>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&quot;L&quot;#,##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>
      <alignment horizontal="center" vertical="center"/>
    </xf>
    <xf numFmtId="165" fontId="7" fillId="3" borderId="3" xfId="2" applyNumberFormat="1" applyBorder="1" applyAlignment="1"/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23</xdr:row>
      <xdr:rowOff>83925</xdr:rowOff>
    </xdr:from>
    <xdr:to>
      <xdr:col>1</xdr:col>
      <xdr:colOff>113617</xdr:colOff>
      <xdr:row>25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4328336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493434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17</xdr:row>
      <xdr:rowOff>163794</xdr:rowOff>
    </xdr:from>
    <xdr:to>
      <xdr:col>6</xdr:col>
      <xdr:colOff>783365</xdr:colOff>
      <xdr:row>28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26</xdr:row>
      <xdr:rowOff>601411</xdr:rowOff>
    </xdr:from>
    <xdr:to>
      <xdr:col>4</xdr:col>
      <xdr:colOff>168596</xdr:colOff>
      <xdr:row>28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26</xdr:row>
      <xdr:rowOff>612567</xdr:rowOff>
    </xdr:from>
    <xdr:to>
      <xdr:col>7</xdr:col>
      <xdr:colOff>991200</xdr:colOff>
      <xdr:row>30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23</xdr:row>
      <xdr:rowOff>149553</xdr:rowOff>
    </xdr:from>
    <xdr:to>
      <xdr:col>4</xdr:col>
      <xdr:colOff>628779</xdr:colOff>
      <xdr:row>30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6"/>
  <sheetViews>
    <sheetView tabSelected="1" view="pageLayout" zoomScale="107" zoomScaleNormal="100" zoomScaleSheetLayoutView="112" zoomScalePageLayoutView="107" workbookViewId="0">
      <selection activeCell="F15" sqref="F15:G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9.33203125" customWidth="1"/>
    <col min="8" max="8" width="15.44140625" customWidth="1"/>
    <col min="9" max="9" width="9.21875" customWidth="1"/>
  </cols>
  <sheetData>
    <row r="1" spans="2:9">
      <c r="B1" s="19"/>
      <c r="C1" s="19"/>
      <c r="D1" s="19"/>
      <c r="E1" s="19"/>
      <c r="F1" s="19"/>
      <c r="G1" s="19"/>
      <c r="H1" s="19"/>
    </row>
    <row r="6" spans="2:9">
      <c r="H6" s="6" t="s">
        <v>11</v>
      </c>
      <c r="I6" s="1"/>
    </row>
    <row r="7" spans="2:9">
      <c r="H7" s="25" t="s">
        <v>19</v>
      </c>
    </row>
    <row r="12" spans="2:9" ht="12.6" customHeight="1">
      <c r="B12" s="20" t="s">
        <v>13</v>
      </c>
      <c r="C12" s="20"/>
      <c r="D12" s="24" t="s">
        <v>16</v>
      </c>
      <c r="E12" s="21"/>
      <c r="F12" t="s">
        <v>10</v>
      </c>
      <c r="G12" s="18" t="s">
        <v>15</v>
      </c>
      <c r="H12" s="18"/>
    </row>
    <row r="13" spans="2:9" ht="14.4" customHeight="1">
      <c r="B13" s="20" t="s">
        <v>0</v>
      </c>
      <c r="C13" s="20"/>
      <c r="D13" s="24" t="s">
        <v>17</v>
      </c>
      <c r="E13" s="21"/>
      <c r="F13" s="21"/>
      <c r="G13" s="21"/>
    </row>
    <row r="14" spans="2:9">
      <c r="B14" s="1" t="s">
        <v>1</v>
      </c>
      <c r="C14" s="1" t="s">
        <v>2</v>
      </c>
      <c r="D14" s="22" t="s">
        <v>3</v>
      </c>
      <c r="E14" s="22"/>
      <c r="F14" s="22" t="s">
        <v>20</v>
      </c>
      <c r="G14" s="22"/>
      <c r="H14" s="1" t="s">
        <v>12</v>
      </c>
    </row>
    <row r="15" spans="2:9">
      <c r="B15" s="2">
        <v>45675</v>
      </c>
      <c r="C15" s="1"/>
      <c r="D15" s="12">
        <v>45677</v>
      </c>
      <c r="E15" s="13"/>
      <c r="F15" s="26">
        <v>8019999401919</v>
      </c>
      <c r="G15" s="27"/>
      <c r="H15" s="5"/>
    </row>
    <row r="16" spans="2:9" ht="15.6">
      <c r="B16" s="3" t="s">
        <v>4</v>
      </c>
      <c r="C16" s="3" t="s">
        <v>8</v>
      </c>
      <c r="D16" s="14" t="s">
        <v>5</v>
      </c>
      <c r="E16" s="14"/>
      <c r="F16" s="14"/>
      <c r="G16" s="3" t="s">
        <v>6</v>
      </c>
      <c r="H16" s="3" t="s">
        <v>7</v>
      </c>
    </row>
    <row r="17" spans="2:8">
      <c r="B17" s="10">
        <v>2</v>
      </c>
      <c r="C17" s="10">
        <v>1</v>
      </c>
      <c r="D17" s="15" t="s">
        <v>18</v>
      </c>
      <c r="E17" s="16"/>
      <c r="F17" s="17"/>
      <c r="G17" s="11">
        <v>5000</v>
      </c>
      <c r="H17" s="11">
        <f>G17*2</f>
        <v>10000</v>
      </c>
    </row>
    <row r="18" spans="2:8">
      <c r="D18" s="23"/>
      <c r="E18" s="23"/>
      <c r="F18" s="23"/>
      <c r="G18" s="7" t="s">
        <v>9</v>
      </c>
      <c r="H18" s="8">
        <f>SUM(H17:H17)</f>
        <v>10000</v>
      </c>
    </row>
    <row r="19" spans="2:8">
      <c r="G19" s="7" t="s">
        <v>14</v>
      </c>
      <c r="H19" s="9">
        <f>H18*0.15</f>
        <v>1500</v>
      </c>
    </row>
    <row r="20" spans="2:8">
      <c r="G20" s="7" t="s">
        <v>9</v>
      </c>
      <c r="H20" s="9">
        <f>H19+H18</f>
        <v>11500</v>
      </c>
    </row>
    <row r="27" spans="2:8" ht="62.4" customHeight="1"/>
    <row r="29" spans="2:8" ht="27.6" customHeight="1"/>
    <row r="30" spans="2:8" ht="5.4" customHeight="1">
      <c r="B30" s="4"/>
      <c r="C30" s="4"/>
      <c r="D30" s="4"/>
      <c r="E30" s="4"/>
      <c r="F30" s="4"/>
      <c r="G30" s="4"/>
      <c r="H30" s="4"/>
    </row>
    <row r="32" spans="2:8" ht="25.2" customHeight="1"/>
    <row r="39" ht="21" customHeight="1"/>
    <row r="41" ht="1.95" customHeight="1"/>
    <row r="42" ht="7.95" customHeight="1"/>
    <row r="43" ht="16.05" customHeight="1"/>
    <row r="45" ht="6" customHeight="1"/>
    <row r="46" ht="9.75" customHeight="1"/>
  </sheetData>
  <mergeCells count="13"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2025-01-13T16:40:08Z</cp:lastPrinted>
  <dcterms:created xsi:type="dcterms:W3CDTF">2022-10-19T19:05:00Z</dcterms:created>
  <dcterms:modified xsi:type="dcterms:W3CDTF">2025-01-18T23:46:26Z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