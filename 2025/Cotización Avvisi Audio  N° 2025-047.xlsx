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D514C76-AA62-4A32-9B46-73BC11872F4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9" i="1" s="1"/>
</calcChain>
</file>

<file path=xl/sharedStrings.xml><?xml version="1.0" encoding="utf-8"?>
<sst xmlns="http://schemas.openxmlformats.org/spreadsheetml/2006/main" count="34" uniqueCount="34">
  <si>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</si>
  <si>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</si>
  <si>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</si>
  <si>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</si>
  <si>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</si>
  <si>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</si>
  <si>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</si>
  <si>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</si>
  <si>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</si>
  <si>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</si>
  <si>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</si>
  <si>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</si>
  <si>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</si>
  <si>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</si>
  <si>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</si>
  <si>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</si>
  <si>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</si>
  <si>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>ISV 15%</t>
  </si>
  <si>
    <t xml:space="preserve">Tegucigalpa </t>
  </si>
  <si>
    <t xml:space="preserve">Movimiento Vamos Honduras </t>
  </si>
  <si>
    <t xml:space="preserve">Allan Corea  </t>
  </si>
  <si>
    <t xml:space="preserve">Lanzamiento Precidencia </t>
  </si>
  <si>
    <t xml:space="preserve">Pantalla Led Central P3 4 x 3 metros </t>
  </si>
  <si>
    <t xml:space="preserve">Monitor de video </t>
  </si>
  <si>
    <t xml:space="preserve">Procesador de video </t>
  </si>
  <si>
    <t xml:space="preserve">Parlantes tipo corporativo </t>
  </si>
  <si>
    <t xml:space="preserve">Monitores de audio para prensa </t>
  </si>
  <si>
    <t xml:space="preserve">Consola de audio 12 canales </t>
  </si>
  <si>
    <t xml:space="preserve">Microfonos Shure SM 58 inalambricos </t>
  </si>
  <si>
    <t xml:space="preserve">Luces Led para salon color solicitado </t>
  </si>
  <si>
    <t xml:space="preserve">Cableado y extenciones requeridas </t>
  </si>
  <si>
    <t>4 de Febrero</t>
  </si>
  <si>
    <t>2025-047</t>
  </si>
  <si>
    <t xml:space="preserve">Descuento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</si>
</sst>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0" fillId="3" borderId="3" xfId="3" applyFont="1" applyFill="1" applyBorder="1" applyAlignment="1"/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44" fontId="6" fillId="3" borderId="8" xfId="3" applyFill="1" applyBorder="1" applyAlignment="1">
      <alignment horizontal="center" vertical="center"/>
    </xf>
    <xf numFmtId="44" fontId="6" fillId="3" borderId="9" xfId="3" applyFill="1" applyBorder="1" applyAlignment="1">
      <alignment horizontal="center" vertical="center"/>
    </xf>
    <xf numFmtId="44" fontId="6" fillId="3" borderId="10" xfId="3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0" fillId="0" borderId="0" xfId="0" applyBorder="1"/>
    <xf numFmtId="44" fontId="8" fillId="2" borderId="10" xfId="3" applyFont="1" applyFill="1" applyBorder="1" applyAlignment="1">
      <alignment horizontal="center" vertical="center"/>
    </xf>
    <xf numFmtId="0" fontId="0" fillId="3" borderId="3" xfId="2" applyFont="1" applyBorder="1" applyAlignment="1">
      <alignment horizontal="left"/>
    </xf>
    <xf numFmtId="0" fontId="8" fillId="2" borderId="3" xfId="2" applyFont="1" applyFill="1" applyBorder="1" applyAlignment="1">
      <alignment horizontal="left" vertical="top"/>
    </xf>
    <xf numFmtId="0" fontId="6" fillId="5" borderId="0" xfId="2" applyFill="1" applyBorder="1" applyAlignment="1">
      <alignment horizontal="center"/>
    </xf>
    <xf numFmtId="44" fontId="9" fillId="2" borderId="10" xfId="3" applyFont="1" applyFill="1" applyBorder="1" applyAlignment="1">
      <alignment horizontal="right" vertic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948431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5</xdr:col>
      <xdr:colOff>1157469</xdr:colOff>
      <xdr:row>36</xdr:row>
      <xdr:rowOff>180775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4620229"/>
          <a:ext cx="4668456" cy="313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34</xdr:row>
      <xdr:rowOff>152410</xdr:rowOff>
    </xdr:from>
    <xdr:to>
      <xdr:col>4</xdr:col>
      <xdr:colOff>318302</xdr:colOff>
      <xdr:row>37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zoomScale="79" zoomScaleNormal="100" zoomScaleSheetLayoutView="112" zoomScalePageLayoutView="79" workbookViewId="0">
      <selection activeCell="I25" sqref="I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18"/>
      <c r="C1" s="18"/>
      <c r="D1" s="18"/>
      <c r="E1" s="18"/>
      <c r="F1" s="18"/>
      <c r="G1" s="18"/>
      <c r="H1" s="18"/>
    </row>
    <row r="6" spans="2:9">
      <c r="H6" s="5" t="s">
        <v>12</v>
      </c>
      <c r="I6" s="1"/>
    </row>
    <row r="7" spans="2:9">
      <c r="H7" s="30" t="s">
        <v>32</v>
      </c>
    </row>
    <row r="12" spans="2:9" ht="12.6" customHeight="1">
      <c r="B12" s="19" t="s">
        <v>13</v>
      </c>
      <c r="C12" s="19"/>
      <c r="D12" s="26" t="s">
        <v>19</v>
      </c>
      <c r="E12" s="21"/>
      <c r="F12" t="s">
        <v>11</v>
      </c>
      <c r="G12" s="23" t="s">
        <v>20</v>
      </c>
      <c r="H12" s="23"/>
    </row>
    <row r="13" spans="2:9" ht="14.4" customHeight="1">
      <c r="B13" s="19" t="s">
        <v>0</v>
      </c>
      <c r="C13" s="19"/>
      <c r="D13" s="20" t="s">
        <v>18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14</v>
      </c>
    </row>
    <row r="15" spans="2:9">
      <c r="B15" s="2">
        <v>45690</v>
      </c>
      <c r="C15" s="1" t="s">
        <v>15</v>
      </c>
      <c r="D15" s="32" t="s">
        <v>31</v>
      </c>
      <c r="E15" s="24"/>
      <c r="F15" s="31" t="s">
        <v>21</v>
      </c>
      <c r="G15" s="23"/>
      <c r="H15" s="10"/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3" t="s">
        <v>7</v>
      </c>
    </row>
    <row r="17" spans="2:8">
      <c r="B17" s="8">
        <v>1</v>
      </c>
      <c r="C17" s="8">
        <v>1</v>
      </c>
      <c r="D17" s="13" t="s">
        <v>22</v>
      </c>
      <c r="E17" s="14"/>
      <c r="F17" s="15"/>
      <c r="G17" s="11"/>
      <c r="H17" s="27">
        <v>34000</v>
      </c>
    </row>
    <row r="18" spans="2:8">
      <c r="B18" s="8">
        <v>1</v>
      </c>
      <c r="C18" s="8">
        <v>1</v>
      </c>
      <c r="D18" s="13" t="s">
        <v>23</v>
      </c>
      <c r="E18" s="14"/>
      <c r="F18" s="15"/>
      <c r="G18" s="11"/>
      <c r="H18" s="28"/>
    </row>
    <row r="19" spans="2:8">
      <c r="B19" s="9">
        <v>1</v>
      </c>
      <c r="C19" s="9">
        <v>1</v>
      </c>
      <c r="D19" s="13" t="s">
        <v>24</v>
      </c>
      <c r="E19" s="14"/>
      <c r="F19" s="15"/>
      <c r="G19" s="12"/>
      <c r="H19" s="28"/>
    </row>
    <row r="20" spans="2:8">
      <c r="B20" s="9">
        <v>2</v>
      </c>
      <c r="C20" s="9">
        <v>1</v>
      </c>
      <c r="D20" s="13" t="s">
        <v>25</v>
      </c>
      <c r="E20" s="14"/>
      <c r="F20" s="15"/>
      <c r="G20" s="11"/>
      <c r="H20" s="28"/>
    </row>
    <row r="21" spans="2:8">
      <c r="B21" s="9">
        <v>2</v>
      </c>
      <c r="C21" s="9">
        <v>1</v>
      </c>
      <c r="D21" s="13" t="s">
        <v>26</v>
      </c>
      <c r="E21" s="16"/>
      <c r="F21" s="17"/>
      <c r="G21" s="11"/>
      <c r="H21" s="28"/>
    </row>
    <row r="22" spans="2:8">
      <c r="B22" s="9">
        <v>1</v>
      </c>
      <c r="C22" s="9">
        <v>1</v>
      </c>
      <c r="D22" s="13" t="s">
        <v>27</v>
      </c>
      <c r="E22" s="16"/>
      <c r="F22" s="17"/>
      <c r="G22" s="11"/>
      <c r="H22" s="28"/>
    </row>
    <row r="23" spans="2:8">
      <c r="B23" s="9">
        <v>3</v>
      </c>
      <c r="C23" s="9">
        <v>1</v>
      </c>
      <c r="D23" s="13" t="s">
        <v>28</v>
      </c>
      <c r="E23" s="16"/>
      <c r="F23" s="17"/>
      <c r="G23" s="11"/>
      <c r="H23" s="28"/>
    </row>
    <row r="24" spans="2:8">
      <c r="B24" s="9">
        <v>8</v>
      </c>
      <c r="C24" s="9">
        <v>1</v>
      </c>
      <c r="D24" s="13" t="s">
        <v>29</v>
      </c>
      <c r="E24" s="16"/>
      <c r="F24" s="17"/>
      <c r="G24" s="11"/>
      <c r="H24" s="28"/>
    </row>
    <row r="25" spans="2:8">
      <c r="B25" s="9">
        <v>1</v>
      </c>
      <c r="C25" s="9">
        <v>1</v>
      </c>
      <c r="D25" s="35" t="s">
        <v>30</v>
      </c>
      <c r="E25" s="35"/>
      <c r="F25" s="35"/>
      <c r="G25" s="11"/>
      <c r="H25" s="29"/>
    </row>
    <row r="26" spans="2:8">
      <c r="B26" s="37"/>
      <c r="C26" s="37"/>
      <c r="D26" s="37"/>
      <c r="E26" s="37"/>
      <c r="F26" s="37"/>
      <c r="G26" s="36" t="s">
        <v>9</v>
      </c>
      <c r="H26" s="6">
        <f>SUM(H17:H25)</f>
        <v>34000</v>
      </c>
    </row>
    <row r="27" spans="2:8">
      <c r="D27" s="33"/>
      <c r="E27" s="33"/>
      <c r="F27" s="33"/>
      <c r="G27" s="38" t="s">
        <v>33</v>
      </c>
      <c r="H27" s="34">
        <v>17000</v>
      </c>
    </row>
    <row r="28" spans="2:8">
      <c r="G28" s="36" t="s">
        <v>17</v>
      </c>
      <c r="H28" s="7"/>
    </row>
    <row r="29" spans="2:8">
      <c r="G29" s="36" t="s">
        <v>16</v>
      </c>
      <c r="H29" s="7">
        <f>H28+H26-H27</f>
        <v>17000</v>
      </c>
    </row>
    <row r="35" spans="2:8" ht="31.8" customHeight="1"/>
    <row r="36" spans="2:8" ht="73.8" customHeight="1"/>
    <row r="38" spans="2:8" ht="27.6" customHeight="1"/>
    <row r="39" spans="2:8" ht="5.4" customHeight="1">
      <c r="B39" s="4"/>
      <c r="C39" s="4"/>
      <c r="D39" s="4"/>
      <c r="E39" s="4"/>
      <c r="F39" s="4"/>
      <c r="G39" s="4"/>
      <c r="H39" s="4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23:F23"/>
    <mergeCell ref="D24:F24"/>
    <mergeCell ref="H17:H25"/>
    <mergeCell ref="D15:E15"/>
    <mergeCell ref="D16:F16"/>
    <mergeCell ref="D17:F17"/>
    <mergeCell ref="F15:G15"/>
    <mergeCell ref="D19:F19"/>
    <mergeCell ref="B1:H1"/>
    <mergeCell ref="B12:C12"/>
    <mergeCell ref="B13:C13"/>
    <mergeCell ref="D13:G13"/>
    <mergeCell ref="D14:E14"/>
    <mergeCell ref="D12:E12"/>
    <mergeCell ref="G12:H12"/>
    <mergeCell ref="F14:G14"/>
    <mergeCell ref="D18:F18"/>
    <mergeCell ref="D21:F21"/>
    <mergeCell ref="D22:F22"/>
    <mergeCell ref="D27:F27"/>
    <mergeCell ref="D20:F20"/>
    <mergeCell ref="D25:F25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2025-02-03T04:57:11Z</cp:lastPrinted>
  <dcterms:created xsi:type="dcterms:W3CDTF">2022-10-19T19:05:00Z</dcterms:created>
  <dcterms:modified xsi:type="dcterms:W3CDTF">2025-02-03T05:06:58Z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