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3D4D842-2C2F-4F38-BC5B-77FDD6282EA4}" xr6:coauthVersionLast="47" xr6:coauthVersionMax="47" xr10:uidLastSave="{00000000-0000-0000-0000-000000000000}"/>
  <bookViews>
    <workbookView xWindow="-108" yWindow="-108" windowWidth="23256" windowHeight="12456" xr2:uid="{E87109C1-48D8-4C3C-B046-F574657CB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 l="1"/>
  <c r="G21" i="1" s="1"/>
  <c r="G22" i="1" s="1"/>
</calcChain>
</file>

<file path=xl/sharedStrings.xml><?xml version="1.0" encoding="utf-8"?>
<sst xmlns="http://schemas.openxmlformats.org/spreadsheetml/2006/main" count="25" uniqueCount="24">
  <si>
    <t>Cotizacion N°</t>
  </si>
  <si>
    <t xml:space="preserve">Cliente </t>
  </si>
  <si>
    <t>Ejecutivo de Venta</t>
  </si>
  <si>
    <t xml:space="preserve">Tania Ulloa Galeano  </t>
  </si>
  <si>
    <t xml:space="preserve">Lugar del Evento     </t>
  </si>
  <si>
    <t xml:space="preserve">Fecha Emitida </t>
  </si>
  <si>
    <t xml:space="preserve">Tiempo </t>
  </si>
  <si>
    <t xml:space="preserve">Fecha Cotizada </t>
  </si>
  <si>
    <t xml:space="preserve">Tipo de evento </t>
  </si>
  <si>
    <t>RTN</t>
  </si>
  <si>
    <t>1 dia</t>
  </si>
  <si>
    <t xml:space="preserve">Evento corporativo </t>
  </si>
  <si>
    <t>Cantidad</t>
  </si>
  <si>
    <t>Dias</t>
  </si>
  <si>
    <t>Descripción</t>
  </si>
  <si>
    <t>Unidad</t>
  </si>
  <si>
    <t>Total</t>
  </si>
  <si>
    <t xml:space="preserve">Sub Total </t>
  </si>
  <si>
    <t>ISV 15 %</t>
  </si>
  <si>
    <t>2025-030</t>
  </si>
  <si>
    <t xml:space="preserve">Tegucigalpa  </t>
  </si>
  <si>
    <t>28 de Febrero 2025</t>
  </si>
  <si>
    <t>Cajas para vino con cinta negra + logo de marca</t>
  </si>
  <si>
    <t>María Barahona (Nissan)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</si>
</sst>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/>
    </xf>
    <xf numFmtId="0" fontId="4" fillId="5" borderId="4" xfId="2" applyFont="1" applyFill="1" applyBorder="1" applyAlignment="1">
      <alignment horizontal="center"/>
    </xf>
    <xf numFmtId="0" fontId="1" fillId="3" borderId="4" xfId="3" applyBorder="1" applyAlignment="1">
      <alignment horizontal="center" vertical="center"/>
    </xf>
    <xf numFmtId="0" fontId="0" fillId="3" borderId="5" xfId="3" applyFont="1" applyBorder="1" applyAlignment="1">
      <alignment horizontal="left"/>
    </xf>
    <xf numFmtId="0" fontId="1" fillId="3" borderId="6" xfId="3" applyBorder="1" applyAlignment="1">
      <alignment horizontal="left"/>
    </xf>
    <xf numFmtId="0" fontId="1" fillId="3" borderId="7" xfId="3" applyBorder="1" applyAlignment="1">
      <alignment horizontal="left"/>
    </xf>
    <xf numFmtId="44" fontId="1" fillId="6" borderId="4" xfId="1" applyFill="1" applyBorder="1" applyAlignment="1"/>
    <xf numFmtId="44" fontId="1" fillId="6" borderId="4" xfId="1" applyFill="1" applyBorder="1" applyAlignment="1">
      <alignment vertical="center"/>
    </xf>
    <xf numFmtId="0" fontId="0" fillId="3" borderId="6" xfId="3" applyFont="1" applyBorder="1" applyAlignment="1">
      <alignment horizontal="left"/>
    </xf>
    <xf numFmtId="0" fontId="0" fillId="3" borderId="7" xfId="3" applyFont="1" applyBorder="1" applyAlignment="1">
      <alignment horizontal="left"/>
    </xf>
    <xf numFmtId="0" fontId="0" fillId="0" borderId="3" xfId="0" applyBorder="1"/>
    <xf numFmtId="0" fontId="2" fillId="5" borderId="4" xfId="3" applyFont="1" applyFill="1" applyBorder="1" applyAlignment="1">
      <alignment horizontal="center"/>
    </xf>
    <xf numFmtId="164" fontId="2" fillId="5" borderId="4" xfId="3" applyNumberFormat="1" applyFont="1" applyFill="1" applyBorder="1"/>
    <xf numFmtId="164" fontId="3" fillId="5" borderId="4" xfId="0" applyNumberFormat="1" applyFont="1" applyFill="1" applyBorder="1"/>
    <xf numFmtId="0" fontId="0" fillId="5" borderId="0" xfId="0" applyFill="1" applyAlignment="1">
      <alignment horizontal="center"/>
    </xf>
  </cellXfs>
  <cellStyles count="4">
    <cellStyle name="20% - Énfasis2" xfId="3" builtinId="34"/>
    <cellStyle name="Énfasis2" xfId="2" builtinId="3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62901</xdr:colOff>
      <xdr:row>25</xdr:row>
      <xdr:rowOff>83925</xdr:rowOff>
    </xdr:from>
    <xdr:to>
      <xdr:col>0</xdr:col>
      <xdr:colOff>113617</xdr:colOff>
      <xdr:row>27</xdr:row>
      <xdr:rowOff>49804</xdr:rowOff>
    </xdr:to>
    <xdr:grpSp>
      <xdr:nvGrpSpPr>
        <xdr:cNvPr id="2" name="Group 4792">
          <a:extLst>
            <a:ext uri="{FF2B5EF4-FFF2-40B4-BE49-F238E27FC236}">
              <a16:creationId xmlns:a16="http://schemas.microsoft.com/office/drawing/2014/main" id="{39CE06EC-E718-47B9-82B8-984B850BC8BB}"/>
            </a:ext>
          </a:extLst>
        </xdr:cNvPr>
        <xdr:cNvGrpSpPr/>
      </xdr:nvGrpSpPr>
      <xdr:grpSpPr>
        <a:xfrm>
          <a:off x="62901" y="4678785"/>
          <a:ext cx="50716" cy="331639"/>
          <a:chOff x="0" y="0"/>
          <a:chExt cx="53443" cy="456762"/>
        </a:xfrm>
      </xdr:grpSpPr>
      <xdr:sp macro="" textlink="">
        <xdr:nvSpPr>
          <xdr:cNvPr id="3" name="Rectangle 136">
            <a:extLst>
              <a:ext uri="{FF2B5EF4-FFF2-40B4-BE49-F238E27FC236}">
                <a16:creationId xmlns:a16="http://schemas.microsoft.com/office/drawing/2014/main" id="{8B1C06B6-3DBC-BBA0-0D30-A5ACB90B9221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" name="Rectangle 137">
            <a:extLst>
              <a:ext uri="{FF2B5EF4-FFF2-40B4-BE49-F238E27FC236}">
                <a16:creationId xmlns:a16="http://schemas.microsoft.com/office/drawing/2014/main" id="{BA99A43E-F7C0-90D8-BFE5-BDA6FBFCB0AA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106680</xdr:rowOff>
    </xdr:from>
    <xdr:to>
      <xdr:col>7</xdr:col>
      <xdr:colOff>15240</xdr:colOff>
      <xdr:row>9</xdr:row>
      <xdr:rowOff>80765</xdr:rowOff>
    </xdr:to>
    <xdr:grpSp>
      <xdr:nvGrpSpPr>
        <xdr:cNvPr id="5" name="Group 4791">
          <a:extLst>
            <a:ext uri="{FF2B5EF4-FFF2-40B4-BE49-F238E27FC236}">
              <a16:creationId xmlns:a16="http://schemas.microsoft.com/office/drawing/2014/main" id="{A8A2678A-14FF-46FE-A7E5-B9C62A64F082}"/>
            </a:ext>
          </a:extLst>
        </xdr:cNvPr>
        <xdr:cNvGrpSpPr/>
      </xdr:nvGrpSpPr>
      <xdr:grpSpPr>
        <a:xfrm>
          <a:off x="0" y="289560"/>
          <a:ext cx="5859780" cy="1437125"/>
          <a:chOff x="-81785" y="149670"/>
          <a:chExt cx="6641070" cy="1685316"/>
        </a:xfrm>
      </xdr:grpSpPr>
      <xdr:sp macro="" textlink="">
        <xdr:nvSpPr>
          <xdr:cNvPr id="6" name="Shape 5223">
            <a:extLst>
              <a:ext uri="{FF2B5EF4-FFF2-40B4-BE49-F238E27FC236}">
                <a16:creationId xmlns:a16="http://schemas.microsoft.com/office/drawing/2014/main" id="{98327C13-3C88-23CD-8CC3-45DD26E2089E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7" name="Shape 5224">
            <a:extLst>
              <a:ext uri="{FF2B5EF4-FFF2-40B4-BE49-F238E27FC236}">
                <a16:creationId xmlns:a16="http://schemas.microsoft.com/office/drawing/2014/main" id="{6292D539-D982-4FD8-0E30-2EEFC943DC6C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8" name="Picture 546">
            <a:extLst>
              <a:ext uri="{FF2B5EF4-FFF2-40B4-BE49-F238E27FC236}">
                <a16:creationId xmlns:a16="http://schemas.microsoft.com/office/drawing/2014/main" id="{6A598809-E499-F4EA-E18E-E86B28B7128B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699315</xdr:colOff>
      <xdr:row>0</xdr:row>
      <xdr:rowOff>83820</xdr:rowOff>
    </xdr:from>
    <xdr:ext cx="4966616" cy="673198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49654E78-3BD1-40AB-9FB2-7B971E5116F0}"/>
            </a:ext>
          </a:extLst>
        </xdr:cNvPr>
        <xdr:cNvSpPr/>
      </xdr:nvSpPr>
      <xdr:spPr>
        <a:xfrm>
          <a:off x="2284275" y="8382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1</xdr:col>
      <xdr:colOff>609600</xdr:colOff>
      <xdr:row>4</xdr:row>
      <xdr:rowOff>28575</xdr:rowOff>
    </xdr:from>
    <xdr:to>
      <xdr:col>6</xdr:col>
      <xdr:colOff>38100</xdr:colOff>
      <xdr:row>7</xdr:row>
      <xdr:rowOff>174625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F583C42-0044-4716-9C9C-504C03FC4103}"/>
            </a:ext>
          </a:extLst>
        </xdr:cNvPr>
        <xdr:cNvSpPr txBox="1"/>
      </xdr:nvSpPr>
      <xdr:spPr>
        <a:xfrm>
          <a:off x="1577340" y="577215"/>
          <a:ext cx="4130040" cy="694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1</xdr:col>
      <xdr:colOff>270151</xdr:colOff>
      <xdr:row>6</xdr:row>
      <xdr:rowOff>170857</xdr:rowOff>
    </xdr:from>
    <xdr:ext cx="3733714" cy="468013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8DE17B9-75E7-4775-AF17-6359FD821AC8}"/>
            </a:ext>
          </a:extLst>
        </xdr:cNvPr>
        <xdr:cNvSpPr/>
      </xdr:nvSpPr>
      <xdr:spPr>
        <a:xfrm>
          <a:off x="2647591" y="1268137"/>
          <a:ext cx="373371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0</xdr:col>
      <xdr:colOff>30372</xdr:colOff>
      <xdr:row>9</xdr:row>
      <xdr:rowOff>53915</xdr:rowOff>
    </xdr:from>
    <xdr:to>
      <xdr:col>6</xdr:col>
      <xdr:colOff>1090246</xdr:colOff>
      <xdr:row>11</xdr:row>
      <xdr:rowOff>170731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9990271-E14D-488B-928A-C7A17E798595}"/>
            </a:ext>
          </a:extLst>
        </xdr:cNvPr>
        <xdr:cNvSpPr txBox="1"/>
      </xdr:nvSpPr>
      <xdr:spPr>
        <a:xfrm>
          <a:off x="182772" y="1516955"/>
          <a:ext cx="6576754" cy="482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19</xdr:row>
      <xdr:rowOff>163794</xdr:rowOff>
    </xdr:from>
    <xdr:to>
      <xdr:col>6</xdr:col>
      <xdr:colOff>1032075</xdr:colOff>
      <xdr:row>30</xdr:row>
      <xdr:rowOff>55382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571F695-750A-4D53-A546-0F961B44CC50}"/>
            </a:ext>
          </a:extLst>
        </xdr:cNvPr>
        <xdr:cNvSpPr txBox="1"/>
      </xdr:nvSpPr>
      <xdr:spPr>
        <a:xfrm>
          <a:off x="0" y="5093934"/>
          <a:ext cx="6701355" cy="2878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120971</xdr:colOff>
      <xdr:row>28</xdr:row>
      <xdr:rowOff>601411</xdr:rowOff>
    </xdr:from>
    <xdr:to>
      <xdr:col>3</xdr:col>
      <xdr:colOff>168596</xdr:colOff>
      <xdr:row>30</xdr:row>
      <xdr:rowOff>320468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63B1700-17D7-40AF-BDBC-17549C1A76B3}"/>
            </a:ext>
          </a:extLst>
        </xdr:cNvPr>
        <xdr:cNvSpPr txBox="1"/>
      </xdr:nvSpPr>
      <xdr:spPr>
        <a:xfrm>
          <a:off x="273371" y="7398451"/>
          <a:ext cx="2402205" cy="839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Tania Ada Ulloa Galeano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3</xdr:col>
      <xdr:colOff>838800</xdr:colOff>
      <xdr:row>28</xdr:row>
      <xdr:rowOff>612567</xdr:rowOff>
    </xdr:from>
    <xdr:to>
      <xdr:col>6</xdr:col>
      <xdr:colOff>991200</xdr:colOff>
      <xdr:row>32</xdr:row>
      <xdr:rowOff>147949</xdr:rowOff>
    </xdr:to>
    <xdr:sp macro="" textlink="">
      <xdr:nvSpPr>
        <xdr:cNvPr id="15" name="CuadroTexto 20">
          <a:extLst>
            <a:ext uri="{FF2B5EF4-FFF2-40B4-BE49-F238E27FC236}">
              <a16:creationId xmlns:a16="http://schemas.microsoft.com/office/drawing/2014/main" id="{9A697CF8-57AE-4FB6-9915-0EB375490DB1}"/>
            </a:ext>
          </a:extLst>
        </xdr:cNvPr>
        <xdr:cNvSpPr txBox="1"/>
      </xdr:nvSpPr>
      <xdr:spPr>
        <a:xfrm>
          <a:off x="3345780" y="7409607"/>
          <a:ext cx="3314700" cy="1074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BF76-BBC1-4D48-9D11-2A070C9DA105}">
  <dimension ref="A2:G32"/>
  <sheetViews>
    <sheetView tabSelected="1" workbookViewId="0">
      <selection activeCell="I9" sqref="I9"/>
    </sheetView>
  </sheetViews>
  <sheetFormatPr baseColWidth="10" defaultRowHeight="14.4" x14ac:dyDescent="0.3"/>
  <cols>
    <col min="5" max="5" width="15.88671875" customWidth="1"/>
  </cols>
  <sheetData>
    <row r="2" spans="1:7" x14ac:dyDescent="0.3">
      <c r="A2" s="1"/>
      <c r="B2" s="1"/>
      <c r="C2" s="1"/>
      <c r="D2" s="1"/>
      <c r="E2" s="1"/>
      <c r="F2" s="1"/>
      <c r="G2" s="1"/>
    </row>
    <row r="7" spans="1:7" x14ac:dyDescent="0.3">
      <c r="G7" s="2" t="s">
        <v>0</v>
      </c>
    </row>
    <row r="8" spans="1:7" x14ac:dyDescent="0.3">
      <c r="G8" s="3" t="s">
        <v>19</v>
      </c>
    </row>
    <row r="13" spans="1:7" x14ac:dyDescent="0.3">
      <c r="A13" s="4" t="s">
        <v>1</v>
      </c>
      <c r="B13" s="4"/>
      <c r="C13" s="5" t="s">
        <v>23</v>
      </c>
      <c r="D13" s="6"/>
      <c r="E13" t="s">
        <v>2</v>
      </c>
      <c r="F13" s="7" t="s">
        <v>3</v>
      </c>
      <c r="G13" s="7"/>
    </row>
    <row r="14" spans="1:7" x14ac:dyDescent="0.3">
      <c r="A14" s="4" t="s">
        <v>4</v>
      </c>
      <c r="B14" s="4"/>
      <c r="C14" s="5" t="s">
        <v>20</v>
      </c>
      <c r="D14" s="6"/>
      <c r="E14" s="6"/>
      <c r="F14" s="6"/>
    </row>
    <row r="15" spans="1:7" x14ac:dyDescent="0.3">
      <c r="A15" s="8" t="s">
        <v>5</v>
      </c>
      <c r="B15" s="8" t="s">
        <v>6</v>
      </c>
      <c r="C15" s="9" t="s">
        <v>7</v>
      </c>
      <c r="D15" s="9"/>
      <c r="E15" s="9" t="s">
        <v>8</v>
      </c>
      <c r="F15" s="9"/>
      <c r="G15" s="8" t="s">
        <v>9</v>
      </c>
    </row>
    <row r="16" spans="1:7" x14ac:dyDescent="0.3">
      <c r="A16" s="10">
        <v>45685</v>
      </c>
      <c r="B16" s="8" t="s">
        <v>10</v>
      </c>
      <c r="C16" s="11" t="s">
        <v>21</v>
      </c>
      <c r="D16" s="12"/>
      <c r="E16" s="13" t="s">
        <v>11</v>
      </c>
      <c r="F16" s="7"/>
      <c r="G16" s="14"/>
    </row>
    <row r="17" spans="1:7" ht="16.2" x14ac:dyDescent="0.3">
      <c r="A17" s="15" t="s">
        <v>12</v>
      </c>
      <c r="B17" s="15" t="s">
        <v>13</v>
      </c>
      <c r="C17" s="16" t="s">
        <v>14</v>
      </c>
      <c r="D17" s="16"/>
      <c r="E17" s="16"/>
      <c r="F17" s="15" t="s">
        <v>15</v>
      </c>
      <c r="G17" s="15" t="s">
        <v>16</v>
      </c>
    </row>
    <row r="18" spans="1:7" x14ac:dyDescent="0.3">
      <c r="A18" s="17">
        <v>10</v>
      </c>
      <c r="B18" s="17"/>
      <c r="C18" s="18" t="s">
        <v>22</v>
      </c>
      <c r="D18" s="19"/>
      <c r="E18" s="20"/>
      <c r="F18" s="21">
        <v>110</v>
      </c>
      <c r="G18" s="22">
        <f>F18*A18</f>
        <v>1100</v>
      </c>
    </row>
    <row r="19" spans="1:7" x14ac:dyDescent="0.3">
      <c r="A19" s="17"/>
      <c r="B19" s="17"/>
      <c r="C19" s="18"/>
      <c r="D19" s="23"/>
      <c r="E19" s="24"/>
      <c r="F19" s="21"/>
      <c r="G19" s="22">
        <f t="shared" ref="G19" si="0">F19*A19*B19</f>
        <v>0</v>
      </c>
    </row>
    <row r="20" spans="1:7" x14ac:dyDescent="0.3">
      <c r="C20" s="25"/>
      <c r="D20" s="25"/>
      <c r="E20" s="25"/>
      <c r="F20" s="26" t="s">
        <v>17</v>
      </c>
      <c r="G20" s="27">
        <f>SUM(G18:G19)</f>
        <v>1100</v>
      </c>
    </row>
    <row r="21" spans="1:7" x14ac:dyDescent="0.3">
      <c r="F21" s="26" t="s">
        <v>18</v>
      </c>
      <c r="G21" s="28">
        <f>G20*0.15</f>
        <v>165</v>
      </c>
    </row>
    <row r="22" spans="1:7" x14ac:dyDescent="0.3">
      <c r="F22" s="26" t="s">
        <v>17</v>
      </c>
      <c r="G22" s="28">
        <f>G21+G20</f>
        <v>1265</v>
      </c>
    </row>
    <row r="32" spans="1:7" x14ac:dyDescent="0.3">
      <c r="A32" s="29"/>
      <c r="B32" s="29"/>
      <c r="C32" s="29"/>
      <c r="D32" s="29"/>
      <c r="E32" s="29"/>
      <c r="F32" s="29"/>
      <c r="G32" s="29"/>
    </row>
  </sheetData>
  <mergeCells count="14">
    <mergeCell ref="C19:E19"/>
    <mergeCell ref="C20:E20"/>
    <mergeCell ref="C15:D15"/>
    <mergeCell ref="E15:F15"/>
    <mergeCell ref="C16:D16"/>
    <mergeCell ref="E16:F16"/>
    <mergeCell ref="C17:E17"/>
    <mergeCell ref="C18:E18"/>
    <mergeCell ref="A2:G2"/>
    <mergeCell ref="A13:B13"/>
    <mergeCell ref="C13:D13"/>
    <mergeCell ref="F13:G13"/>
    <mergeCell ref="A14:B14"/>
    <mergeCell ref="C14:F14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cp:lastPrinted>2025-01-28T17:27:10Z</cp:lastPrinted>
  <dcterms:created xsi:type="dcterms:W3CDTF">2025-01-28T17:14:38Z</dcterms:created>
  <dcterms:modified xsi:type="dcterms:W3CDTF">2025-01-28T17:29:49Z</dcterms:modified>
</cp:coreProperties>
</file>