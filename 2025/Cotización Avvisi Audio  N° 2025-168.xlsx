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E3BDFCEA-7A58-4E94-8C36-6061535821E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17" i="1"/>
  <c r="H19" i="1"/>
  <c r="H20" i="1"/>
  <c r="H21" i="1"/>
  <c r="H22" i="1"/>
  <c r="H23" i="1"/>
  <c r="H24" i="1"/>
  <c r="H28" i="1"/>
  <c r="H18" i="1"/>
  <c r="H29" i="1" l="1"/>
  <c r="H30" i="1" l="1"/>
  <c r="H31" i="1" s="1"/>
</calcChain>
</file>

<file path=xl/sharedStrings.xml><?xml version="1.0" encoding="utf-8"?>
<sst xmlns="http://schemas.openxmlformats.org/spreadsheetml/2006/main" count="32" uniqueCount="31">
  <si>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</si>
  <si>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</si>
  <si>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</si>
  <si>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</si>
  <si>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</si>
  <si>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</si>
  <si>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</si>
  <si>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</si>
  <si>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</si>
  <si>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</si>
  <si>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</si>
  <si>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</si>
  <si>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</si>
  <si>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</si>
  <si>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</si>
  <si>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</si>
  <si>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</si>
  <si>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</si>
  <si>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</si>
  <si>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>olimpiadas EFNA</t>
  </si>
  <si>
    <t>2 dias</t>
  </si>
  <si>
    <t xml:space="preserve">Microfono en pedstal </t>
  </si>
  <si>
    <t xml:space="preserve">Microfono inalambrico </t>
  </si>
  <si>
    <t xml:space="preserve">Microfono de diadema </t>
  </si>
  <si>
    <t xml:space="preserve">Pantalla led 3 x 3 metros </t>
  </si>
  <si>
    <t xml:space="preserve">Equipo de audio Presofesional </t>
  </si>
  <si>
    <t xml:space="preserve">Internet satelital </t>
  </si>
  <si>
    <t xml:space="preserve">Luces led </t>
  </si>
  <si>
    <t>Tarima de 5 x 3.75</t>
  </si>
  <si>
    <t xml:space="preserve">Pantalla 55 smart en truss </t>
  </si>
  <si>
    <t>2025-168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</si>
</sst>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 vertical="center"/>
    </xf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6348367"/>
          <a:ext cx="50716" cy="33484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6" zoomScale="95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3" t="s">
        <v>30</v>
      </c>
    </row>
    <row r="12" spans="2:9" ht="12.6" customHeight="1">
      <c r="B12" s="24" t="s">
        <v>14</v>
      </c>
      <c r="C12" s="24"/>
      <c r="D12" s="26"/>
      <c r="E12" s="27"/>
      <c r="F12" t="s">
        <v>11</v>
      </c>
      <c r="G12" s="28" t="s">
        <v>15</v>
      </c>
      <c r="H12" s="28"/>
    </row>
    <row r="13" spans="2:9" ht="14.4" customHeight="1">
      <c r="B13" s="24" t="s">
        <v>0</v>
      </c>
      <c r="C13" s="24"/>
      <c r="D13" s="36"/>
      <c r="E13" s="30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/>
      <c r="C15" s="1" t="s">
        <v>20</v>
      </c>
      <c r="D15" s="34"/>
      <c r="E15" s="31"/>
      <c r="F15" s="35" t="s">
        <v>19</v>
      </c>
      <c r="G15" s="28"/>
      <c r="H15" s="7" t="s">
        <v>18</v>
      </c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14" t="s">
        <v>7</v>
      </c>
    </row>
    <row r="17" spans="2:8">
      <c r="B17" s="4">
        <v>2</v>
      </c>
      <c r="C17" s="4">
        <v>2</v>
      </c>
      <c r="D17" s="21" t="s">
        <v>21</v>
      </c>
      <c r="E17" s="22"/>
      <c r="F17" s="22"/>
      <c r="G17" s="16">
        <v>700</v>
      </c>
      <c r="H17" s="15">
        <f>B17*G17*C17</f>
        <v>2800</v>
      </c>
    </row>
    <row r="18" spans="2:8">
      <c r="B18" s="4">
        <v>2</v>
      </c>
      <c r="C18" s="4">
        <v>2</v>
      </c>
      <c r="D18" s="21" t="s">
        <v>22</v>
      </c>
      <c r="E18" s="22"/>
      <c r="F18" s="22"/>
      <c r="G18" s="13">
        <v>500</v>
      </c>
      <c r="H18" s="15">
        <f t="shared" ref="H18:H28" si="0">B18*G18*C18</f>
        <v>2000</v>
      </c>
    </row>
    <row r="19" spans="2:8">
      <c r="B19" s="6">
        <v>2</v>
      </c>
      <c r="C19" s="4">
        <v>2</v>
      </c>
      <c r="D19" s="21" t="s">
        <v>23</v>
      </c>
      <c r="E19" s="22"/>
      <c r="F19" s="22"/>
      <c r="G19" s="13">
        <v>500</v>
      </c>
      <c r="H19" s="15">
        <f t="shared" si="0"/>
        <v>2000</v>
      </c>
    </row>
    <row r="20" spans="2:8">
      <c r="B20" s="4">
        <v>2</v>
      </c>
      <c r="C20" s="4">
        <v>2</v>
      </c>
      <c r="D20" s="17" t="s">
        <v>24</v>
      </c>
      <c r="E20" s="18"/>
      <c r="F20" s="19"/>
      <c r="G20" s="13">
        <v>18000</v>
      </c>
      <c r="H20" s="15">
        <f t="shared" si="0"/>
        <v>72000</v>
      </c>
    </row>
    <row r="21" spans="2:8">
      <c r="B21" s="4">
        <v>2</v>
      </c>
      <c r="C21" s="4">
        <v>2</v>
      </c>
      <c r="D21" s="17" t="s">
        <v>29</v>
      </c>
      <c r="E21" s="18"/>
      <c r="F21" s="19"/>
      <c r="G21" s="13">
        <v>1500</v>
      </c>
      <c r="H21" s="15">
        <f t="shared" si="0"/>
        <v>6000</v>
      </c>
    </row>
    <row r="22" spans="2:8">
      <c r="B22" s="4">
        <v>2</v>
      </c>
      <c r="C22" s="4">
        <v>2</v>
      </c>
      <c r="D22" s="17" t="s">
        <v>25</v>
      </c>
      <c r="E22" s="18"/>
      <c r="F22" s="19"/>
      <c r="G22" s="13">
        <v>8000</v>
      </c>
      <c r="H22" s="15">
        <f t="shared" si="0"/>
        <v>32000</v>
      </c>
    </row>
    <row r="23" spans="2:8">
      <c r="B23" s="4">
        <v>2</v>
      </c>
      <c r="C23" s="4">
        <v>2</v>
      </c>
      <c r="D23" s="17" t="s">
        <v>26</v>
      </c>
      <c r="E23" s="18"/>
      <c r="F23" s="19"/>
      <c r="G23" s="9">
        <v>3000</v>
      </c>
      <c r="H23" s="15">
        <f t="shared" si="0"/>
        <v>12000</v>
      </c>
    </row>
    <row r="24" spans="2:8">
      <c r="B24" s="4">
        <v>8</v>
      </c>
      <c r="C24" s="4">
        <v>2</v>
      </c>
      <c r="D24" s="17" t="s">
        <v>27</v>
      </c>
      <c r="E24" s="18"/>
      <c r="F24" s="19"/>
      <c r="G24" s="9">
        <v>250</v>
      </c>
      <c r="H24" s="15">
        <f t="shared" si="0"/>
        <v>4000</v>
      </c>
    </row>
    <row r="25" spans="2:8">
      <c r="B25" s="4">
        <v>1</v>
      </c>
      <c r="C25" s="4">
        <v>2</v>
      </c>
      <c r="D25" s="37" t="s">
        <v>28</v>
      </c>
      <c r="E25" s="38"/>
      <c r="F25" s="39"/>
      <c r="G25" s="9">
        <v>3800</v>
      </c>
      <c r="H25" s="15">
        <f t="shared" si="0"/>
        <v>7600</v>
      </c>
    </row>
    <row r="26" spans="2:8">
      <c r="B26" s="4"/>
      <c r="C26" s="4"/>
      <c r="D26" s="37"/>
      <c r="E26" s="38"/>
      <c r="F26" s="39"/>
      <c r="G26" s="9"/>
      <c r="H26" s="15">
        <f t="shared" si="0"/>
        <v>0</v>
      </c>
    </row>
    <row r="27" spans="2:8">
      <c r="B27" s="4"/>
      <c r="C27" s="6"/>
      <c r="D27" s="37"/>
      <c r="E27" s="38"/>
      <c r="F27" s="39"/>
      <c r="G27" s="9"/>
      <c r="H27" s="15"/>
    </row>
    <row r="28" spans="2:8">
      <c r="B28" s="4"/>
      <c r="C28" s="6"/>
      <c r="D28" s="37"/>
      <c r="E28" s="38"/>
      <c r="F28" s="39"/>
      <c r="G28" s="9"/>
      <c r="H28" s="15">
        <f t="shared" si="0"/>
        <v>0</v>
      </c>
    </row>
    <row r="29" spans="2:8">
      <c r="D29" s="20"/>
      <c r="E29" s="20"/>
      <c r="F29" s="20"/>
      <c r="G29" s="10" t="s">
        <v>9</v>
      </c>
      <c r="H29" s="11">
        <f>SUM(H17:H28)</f>
        <v>140400</v>
      </c>
    </row>
    <row r="30" spans="2:8">
      <c r="G30" s="10" t="s">
        <v>16</v>
      </c>
      <c r="H30" s="12">
        <f>H29*0.15</f>
        <v>21060</v>
      </c>
    </row>
    <row r="31" spans="2:8">
      <c r="G31" s="10" t="s">
        <v>9</v>
      </c>
      <c r="H31" s="12">
        <f>H30+H29</f>
        <v>161460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5:E15"/>
    <mergeCell ref="D16:F16"/>
    <mergeCell ref="D17:F17"/>
    <mergeCell ref="F15:G15"/>
    <mergeCell ref="D25:F2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8:F28"/>
    <mergeCell ref="D29:F29"/>
    <mergeCell ref="D20:F20"/>
    <mergeCell ref="D19:F19"/>
    <mergeCell ref="D18:F18"/>
    <mergeCell ref="D24:F24"/>
    <mergeCell ref="D22:F22"/>
    <mergeCell ref="D21:F21"/>
    <mergeCell ref="D23:F23"/>
    <mergeCell ref="D26:F26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2025-05-08T21:26:06Z</cp:lastPrinted>
  <dcterms:created xsi:type="dcterms:W3CDTF">2022-10-19T19:05:00Z</dcterms:created>
  <dcterms:modified xsi:type="dcterms:W3CDTF">2025-05-08T21:26:34Z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