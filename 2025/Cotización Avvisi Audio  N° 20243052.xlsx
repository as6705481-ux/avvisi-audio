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09223F7-5804-4C94-8412-AF4CA370DA9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1" i="1" s="1"/>
  <c r="H22" i="1" l="1"/>
  <c r="H23" i="1" s="1"/>
</calcChain>
</file>

<file path=xl/sharedStrings.xml><?xml version="1.0" encoding="utf-8"?>
<sst xmlns="http://schemas.openxmlformats.org/spreadsheetml/2006/main" count="24" uniqueCount="24">
  <si>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</si>
  <si>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</si>
  <si>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</si>
  <si>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</si>
  <si>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</si>
  <si>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</si>
  <si>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</si>
  <si>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</si>
  <si>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</si>
  <si>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</si>
  <si>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</si>
  <si>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</si>
  <si>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</si>
  <si>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</si>
  <si>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</si>
  <si>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</si>
  <si>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</si>
  <si>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</si>
  <si>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</si>
  <si>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2024-3052</t>
  </si>
  <si>
    <t>Grupo Q</t>
  </si>
  <si>
    <t xml:space="preserve">Santa Rosa de Copan </t>
  </si>
  <si>
    <t xml:space="preserve">del 20 al 27 de septiembre </t>
  </si>
  <si>
    <t xml:space="preserve">Activacion PV audio , animador y edecan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</si>
</sst>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64" fontId="8" fillId="3" borderId="3" xfId="3" applyNumberFormat="1" applyBorder="1" applyAlignment="1"/>
    <xf numFmtId="0" fontId="0" fillId="0" borderId="2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8" fillId="3" borderId="3" xfId="3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3" borderId="3" xfId="3" applyFont="1" applyBorder="1" applyAlignment="1">
      <alignment horizontal="left"/>
    </xf>
    <xf numFmtId="0" fontId="2" fillId="3" borderId="6" xfId="3" applyFont="1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" fontId="1" fillId="0" borderId="2" xfId="0" applyNumberFormat="1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255168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116843</xdr:colOff>
      <xdr:row>20</xdr:row>
      <xdr:rowOff>400</xdr:rowOff>
    </xdr:from>
    <xdr:to>
      <xdr:col>8</xdr:col>
      <xdr:colOff>78874</xdr:colOff>
      <xdr:row>30</xdr:row>
      <xdr:rowOff>125370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6843" y="3704074"/>
          <a:ext cx="6811171" cy="1985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31</xdr:row>
      <xdr:rowOff>38100</xdr:rowOff>
    </xdr:from>
    <xdr:to>
      <xdr:col>4</xdr:col>
      <xdr:colOff>131445</xdr:colOff>
      <xdr:row>36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31</xdr:row>
      <xdr:rowOff>76200</xdr:rowOff>
    </xdr:from>
    <xdr:to>
      <xdr:col>7</xdr:col>
      <xdr:colOff>852805</xdr:colOff>
      <xdr:row>37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7" zoomScale="103" zoomScaleNormal="100" zoomScaleSheetLayoutView="112" zoomScalePageLayoutView="103" workbookViewId="0">
      <selection activeCell="G18" sqref="G18:H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7"/>
      <c r="C1" s="17"/>
      <c r="D1" s="17"/>
      <c r="E1" s="17"/>
      <c r="F1" s="17"/>
      <c r="G1" s="17"/>
      <c r="H1" s="17"/>
    </row>
    <row r="6" spans="2:9">
      <c r="H6" s="13" t="s">
        <v>13</v>
      </c>
      <c r="I6" s="1"/>
    </row>
    <row r="7" spans="2:9">
      <c r="H7" s="32" t="s">
        <v>19</v>
      </c>
    </row>
    <row r="12" spans="2:9" ht="12.6" customHeight="1">
      <c r="B12" s="18" t="s">
        <v>0</v>
      </c>
      <c r="C12" s="18"/>
      <c r="D12" s="33" t="s">
        <v>20</v>
      </c>
      <c r="E12" s="19"/>
      <c r="F12" t="s">
        <v>12</v>
      </c>
      <c r="G12" s="21" t="s">
        <v>14</v>
      </c>
      <c r="H12" s="21"/>
    </row>
    <row r="13" spans="2:9" ht="14.4" customHeight="1">
      <c r="B13" s="18" t="s">
        <v>1</v>
      </c>
      <c r="C13" s="18"/>
      <c r="D13" s="33" t="s">
        <v>21</v>
      </c>
      <c r="E13" s="19"/>
      <c r="F13" s="19"/>
      <c r="G13" s="19"/>
    </row>
    <row r="14" spans="2:9">
      <c r="B14" s="1" t="s">
        <v>2</v>
      </c>
      <c r="C14" s="1" t="s">
        <v>3</v>
      </c>
      <c r="D14" s="20" t="s">
        <v>4</v>
      </c>
      <c r="E14" s="20"/>
      <c r="F14" s="20" t="s">
        <v>11</v>
      </c>
      <c r="G14" s="20"/>
      <c r="H14" s="1" t="s">
        <v>17</v>
      </c>
    </row>
    <row r="15" spans="2:9">
      <c r="B15" s="2">
        <v>45545</v>
      </c>
      <c r="C15" s="1"/>
      <c r="D15" s="34" t="s">
        <v>22</v>
      </c>
      <c r="E15" s="20"/>
      <c r="F15" s="25" t="s">
        <v>18</v>
      </c>
      <c r="G15" s="21"/>
      <c r="H15" s="12"/>
    </row>
    <row r="16" spans="2:9" ht="15.6">
      <c r="B16" s="3" t="s">
        <v>5</v>
      </c>
      <c r="C16" s="3" t="s">
        <v>9</v>
      </c>
      <c r="D16" s="22" t="s">
        <v>6</v>
      </c>
      <c r="E16" s="22"/>
      <c r="F16" s="22"/>
      <c r="G16" s="3" t="s">
        <v>7</v>
      </c>
      <c r="H16" s="3" t="s">
        <v>8</v>
      </c>
    </row>
    <row r="17" spans="2:8">
      <c r="B17" s="4">
        <v>1</v>
      </c>
      <c r="C17" s="4">
        <v>7</v>
      </c>
      <c r="D17" s="23" t="s">
        <v>23</v>
      </c>
      <c r="E17" s="24"/>
      <c r="F17" s="24"/>
      <c r="G17" s="14">
        <v>5500</v>
      </c>
      <c r="H17" s="7">
        <f>G17*B17*C17</f>
        <v>38500</v>
      </c>
    </row>
    <row r="18" spans="2:8">
      <c r="B18" s="4"/>
      <c r="C18" s="8"/>
      <c r="D18" s="26"/>
      <c r="E18" s="24"/>
      <c r="F18" s="24"/>
      <c r="G18" s="14"/>
      <c r="H18" s="7"/>
    </row>
    <row r="19" spans="2:8">
      <c r="B19" s="4"/>
      <c r="C19" s="8"/>
      <c r="D19" s="27"/>
      <c r="E19" s="28"/>
      <c r="F19" s="29"/>
      <c r="G19" s="14"/>
      <c r="H19" s="7"/>
    </row>
    <row r="20" spans="2:8">
      <c r="B20" s="4"/>
      <c r="C20" s="8"/>
      <c r="D20" s="30"/>
      <c r="E20" s="31"/>
      <c r="F20" s="31"/>
      <c r="G20" s="14"/>
      <c r="H20" s="7"/>
    </row>
    <row r="21" spans="2:8">
      <c r="D21" s="15"/>
      <c r="E21" s="15"/>
      <c r="F21" s="15"/>
      <c r="G21" s="9" t="s">
        <v>10</v>
      </c>
      <c r="H21" s="5">
        <f>SUM(H17:H20)</f>
        <v>38500</v>
      </c>
    </row>
    <row r="22" spans="2:8">
      <c r="D22" s="16"/>
      <c r="E22" s="16"/>
      <c r="F22" s="16"/>
      <c r="G22" s="9" t="s">
        <v>15</v>
      </c>
      <c r="H22" s="10">
        <f>H21*0.15</f>
        <v>5775</v>
      </c>
    </row>
    <row r="23" spans="2:8">
      <c r="D23" s="16"/>
      <c r="E23" s="16"/>
      <c r="F23" s="16"/>
      <c r="G23" s="9" t="s">
        <v>16</v>
      </c>
      <c r="H23" s="11">
        <f>H21+H22</f>
        <v>44275</v>
      </c>
    </row>
    <row r="34" spans="2:8" ht="27.6" customHeight="1"/>
    <row r="35" spans="2:8" ht="5.4" customHeight="1">
      <c r="B35" s="6"/>
      <c r="C35" s="6"/>
      <c r="D35" s="6"/>
      <c r="E35" s="6"/>
      <c r="F35" s="6"/>
      <c r="G35" s="6"/>
      <c r="H35" s="6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19:F19"/>
    <mergeCell ref="D20:F20"/>
    <mergeCell ref="D21:F21"/>
    <mergeCell ref="D22:F22"/>
    <mergeCell ref="D23:F2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2024-08-27T18:35:19Z</cp:lastPrinted>
  <dcterms:created xsi:type="dcterms:W3CDTF">2022-10-19T19:05:00Z</dcterms:created>
  <dcterms:modified xsi:type="dcterms:W3CDTF">2024-09-10T14:59:18Z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