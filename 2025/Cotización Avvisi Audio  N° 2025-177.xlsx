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8241C25B-6746-4455-A628-33CA8419840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9" i="1"/>
  <c r="H20" i="1"/>
  <c r="H21" i="1"/>
  <c r="H22" i="1"/>
  <c r="H23" i="1"/>
  <c r="H24" i="1"/>
  <c r="H25" i="1"/>
  <c r="H26" i="1"/>
  <c r="H18" i="1"/>
  <c r="H27" i="1" l="1"/>
  <c r="H28" i="1" l="1"/>
  <c r="H29" i="1" s="1"/>
</calcChain>
</file>

<file path=xl/sharedStrings.xml><?xml version="1.0" encoding="utf-8"?>
<sst xmlns="http://schemas.openxmlformats.org/spreadsheetml/2006/main" count="28" uniqueCount="27">
  <si>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</si>
  <si>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</si>
  <si>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</si>
  <si>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</si>
  <si>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</si>
  <si>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</si>
  <si>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</si>
  <si>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</si>
  <si>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</si>
  <si>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</si>
  <si>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</si>
  <si>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</si>
  <si>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</si>
  <si>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</si>
  <si>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</si>
  <si>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</si>
  <si>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</si>
  <si>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</si>
  <si>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No determinado</t>
  </si>
  <si>
    <t>Grupo Q</t>
  </si>
  <si>
    <t xml:space="preserve">Motor Fest </t>
  </si>
  <si>
    <t>Tegucigalpa / Cascadas Mall</t>
  </si>
  <si>
    <t xml:space="preserve">12, 13 y 14 </t>
  </si>
  <si>
    <t xml:space="preserve">Totems led Totem led 2 x 1  para marcas </t>
  </si>
  <si>
    <t xml:space="preserve">3 dias </t>
  </si>
  <si>
    <t xml:space="preserve">Edecan </t>
  </si>
  <si>
    <t>2025-177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</si>
</sst>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7280" y="5979399"/>
          <a:ext cx="50716" cy="33484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858"/>
          <a:ext cx="6485638" cy="133016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35608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35</xdr:row>
      <xdr:rowOff>601411</xdr:rowOff>
    </xdr:from>
    <xdr:to>
      <xdr:col>4</xdr:col>
      <xdr:colOff>168596</xdr:colOff>
      <xdr:row>37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35</xdr:row>
      <xdr:rowOff>612567</xdr:rowOff>
    </xdr:from>
    <xdr:to>
      <xdr:col>7</xdr:col>
      <xdr:colOff>991200</xdr:colOff>
      <xdr:row>39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32</xdr:row>
      <xdr:rowOff>149553</xdr:rowOff>
    </xdr:from>
    <xdr:to>
      <xdr:col>4</xdr:col>
      <xdr:colOff>1032164</xdr:colOff>
      <xdr:row>39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topLeftCell="A7" zoomScale="95" zoomScaleNormal="110" zoomScaleSheetLayoutView="112" zoomScalePageLayoutView="107" workbookViewId="0">
      <selection activeCell="B15" sqref="B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6" t="s">
        <v>26</v>
      </c>
    </row>
    <row r="12" spans="2:9" ht="12.6" customHeight="1">
      <c r="B12" s="25" t="s">
        <v>14</v>
      </c>
      <c r="C12" s="25"/>
      <c r="D12" s="27" t="s">
        <v>19</v>
      </c>
      <c r="E12" s="28"/>
      <c r="F12" t="s">
        <v>11</v>
      </c>
      <c r="G12" s="23" t="s">
        <v>15</v>
      </c>
      <c r="H12" s="23"/>
    </row>
    <row r="13" spans="2:9" ht="14.4" customHeight="1">
      <c r="B13" s="25" t="s">
        <v>0</v>
      </c>
      <c r="C13" s="25"/>
      <c r="D13" s="30" t="s">
        <v>21</v>
      </c>
      <c r="E13" s="31"/>
      <c r="F13" s="1" t="s">
        <v>17</v>
      </c>
      <c r="G13" s="29"/>
      <c r="H13" s="29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10</v>
      </c>
      <c r="G14" s="24"/>
      <c r="H14" s="1" t="s">
        <v>13</v>
      </c>
    </row>
    <row r="15" spans="2:9">
      <c r="B15" s="2">
        <v>45787</v>
      </c>
      <c r="C15" s="1" t="s">
        <v>24</v>
      </c>
      <c r="D15" s="17" t="s">
        <v>22</v>
      </c>
      <c r="E15" s="18"/>
      <c r="F15" s="22" t="s">
        <v>20</v>
      </c>
      <c r="G15" s="23"/>
      <c r="H15" s="7" t="s">
        <v>18</v>
      </c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4" t="s">
        <v>7</v>
      </c>
    </row>
    <row r="17" spans="2:8">
      <c r="B17" s="4">
        <v>1</v>
      </c>
      <c r="C17" s="4">
        <v>3</v>
      </c>
      <c r="D17" s="20" t="s">
        <v>23</v>
      </c>
      <c r="E17" s="21"/>
      <c r="F17" s="21"/>
      <c r="G17" s="16">
        <v>4000</v>
      </c>
      <c r="H17" s="15">
        <f>B17*G17*C17</f>
        <v>12000</v>
      </c>
    </row>
    <row r="18" spans="2:8">
      <c r="B18" s="4">
        <v>1</v>
      </c>
      <c r="C18" s="6">
        <v>3</v>
      </c>
      <c r="D18" s="20" t="s">
        <v>25</v>
      </c>
      <c r="E18" s="21"/>
      <c r="F18" s="21"/>
      <c r="G18" s="13">
        <v>2500</v>
      </c>
      <c r="H18" s="15">
        <f t="shared" ref="H18:H26" si="0">B18*G18*C18</f>
        <v>7500</v>
      </c>
    </row>
    <row r="19" spans="2:8">
      <c r="B19" s="6"/>
      <c r="C19" s="6"/>
      <c r="D19" s="20"/>
      <c r="E19" s="21"/>
      <c r="F19" s="21"/>
      <c r="G19" s="13"/>
      <c r="H19" s="15">
        <f t="shared" si="0"/>
        <v>0</v>
      </c>
    </row>
    <row r="20" spans="2:8">
      <c r="B20" s="4"/>
      <c r="C20" s="6"/>
      <c r="D20" s="32"/>
      <c r="E20" s="33"/>
      <c r="F20" s="34"/>
      <c r="G20" s="13"/>
      <c r="H20" s="15">
        <f t="shared" si="0"/>
        <v>0</v>
      </c>
    </row>
    <row r="21" spans="2:8">
      <c r="B21" s="4"/>
      <c r="C21" s="6"/>
      <c r="D21" s="32"/>
      <c r="E21" s="33"/>
      <c r="F21" s="34"/>
      <c r="G21" s="13"/>
      <c r="H21" s="15">
        <f t="shared" si="0"/>
        <v>0</v>
      </c>
    </row>
    <row r="22" spans="2:8">
      <c r="B22" s="4"/>
      <c r="C22" s="6"/>
      <c r="D22" s="32"/>
      <c r="E22" s="33"/>
      <c r="F22" s="34"/>
      <c r="G22" s="13"/>
      <c r="H22" s="15">
        <f t="shared" si="0"/>
        <v>0</v>
      </c>
    </row>
    <row r="23" spans="2:8">
      <c r="B23" s="4"/>
      <c r="C23" s="6"/>
      <c r="D23" s="32"/>
      <c r="E23" s="33"/>
      <c r="F23" s="34"/>
      <c r="G23" s="9"/>
      <c r="H23" s="15">
        <f t="shared" si="0"/>
        <v>0</v>
      </c>
    </row>
    <row r="24" spans="2:8">
      <c r="B24" s="4"/>
      <c r="C24" s="6"/>
      <c r="D24" s="32"/>
      <c r="E24" s="33"/>
      <c r="F24" s="34"/>
      <c r="G24" s="9"/>
      <c r="H24" s="15">
        <f t="shared" si="0"/>
        <v>0</v>
      </c>
    </row>
    <row r="25" spans="2:8">
      <c r="B25" s="4"/>
      <c r="C25" s="6"/>
      <c r="D25" s="32"/>
      <c r="E25" s="33"/>
      <c r="F25" s="34"/>
      <c r="G25" s="9"/>
      <c r="H25" s="15">
        <f t="shared" si="0"/>
        <v>0</v>
      </c>
    </row>
    <row r="26" spans="2:8">
      <c r="B26" s="4"/>
      <c r="C26" s="6"/>
      <c r="D26" s="32"/>
      <c r="E26" s="33"/>
      <c r="F26" s="34"/>
      <c r="G26" s="9"/>
      <c r="H26" s="15">
        <f t="shared" si="0"/>
        <v>0</v>
      </c>
    </row>
    <row r="27" spans="2:8">
      <c r="D27" s="35"/>
      <c r="E27" s="35"/>
      <c r="F27" s="35"/>
      <c r="G27" s="10" t="s">
        <v>9</v>
      </c>
      <c r="H27" s="11">
        <f>SUM(H17:H26)</f>
        <v>19500</v>
      </c>
    </row>
    <row r="28" spans="2:8">
      <c r="G28" s="10" t="s">
        <v>16</v>
      </c>
      <c r="H28" s="12">
        <f>H27*0.15</f>
        <v>2925</v>
      </c>
    </row>
    <row r="29" spans="2:8">
      <c r="G29" s="10" t="s">
        <v>9</v>
      </c>
      <c r="H29" s="12">
        <f>H28+H27</f>
        <v>22425</v>
      </c>
    </row>
    <row r="36" spans="2:8" ht="62.4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3">
    <mergeCell ref="D26:F26"/>
    <mergeCell ref="D27:F27"/>
    <mergeCell ref="D20:F20"/>
    <mergeCell ref="D19:F19"/>
    <mergeCell ref="D18:F18"/>
    <mergeCell ref="D25:F25"/>
    <mergeCell ref="D22:F22"/>
    <mergeCell ref="D21:F21"/>
    <mergeCell ref="D24:F24"/>
    <mergeCell ref="D23:F23"/>
    <mergeCell ref="D15:E15"/>
    <mergeCell ref="D16:F16"/>
    <mergeCell ref="D17:F17"/>
    <mergeCell ref="F15:G1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2025-05-02T17:06:35Z</cp:lastPrinted>
  <dcterms:created xsi:type="dcterms:W3CDTF">2022-10-19T19:05:00Z</dcterms:created>
  <dcterms:modified xsi:type="dcterms:W3CDTF">2025-06-02T03:53:53Z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