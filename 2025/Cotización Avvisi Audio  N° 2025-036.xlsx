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13_ncr:1_{129ECC07-910D-4251-9D56-D98B1888DEB1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7" i="1" l="1"/>
  <c r="H19" i="1"/>
  <c r="H20" i="1"/>
  <c r="H21" i="1"/>
  <c r="H22" i="1"/>
  <c r="H23" i="1"/>
  <c r="H24" i="1"/>
  <c r="H25" i="1"/>
  <c r="H18" i="1"/>
  <c r="H17" i="1"/>
  <c r="H26" i="1" l="1"/>
  <c r="H28" i="1" s="1"/>
</calcChain>
</file>

<file path=xl/sharedStrings.xml><?xml version="1.0" encoding="utf-8"?>
<sst xmlns="http://schemas.openxmlformats.org/spreadsheetml/2006/main" count="31" uniqueCount="31">
  <si>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</si>
  <si>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</si>
  <si>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</si>
  <si>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</si>
  <si>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</si>
  <si>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</si>
  <si>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</si>
  <si>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</si>
  <si>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</si>
  <si>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</si>
  <si>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</si>
  <si>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</si>
  <si>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</si>
  <si>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Cliente </t>
  </si>
  <si>
    <t>RTN</t>
  </si>
  <si>
    <t>1 dia</t>
  </si>
  <si>
    <t xml:space="preserve">Total </t>
  </si>
  <si>
    <t xml:space="preserve">Pantalla led 4 x 2  </t>
  </si>
  <si>
    <t xml:space="preserve">Totem Led 2 x 1 </t>
  </si>
  <si>
    <t xml:space="preserve">Audio profesional </t>
  </si>
  <si>
    <t xml:space="preserve">Honduras </t>
  </si>
  <si>
    <t xml:space="preserve">No definida </t>
  </si>
  <si>
    <t xml:space="preserve">Evento Corporativo </t>
  </si>
  <si>
    <t xml:space="preserve">Personal tecnico , staff </t>
  </si>
  <si>
    <t xml:space="preserve">Carlos Cruz </t>
  </si>
  <si>
    <t xml:space="preserve">Tecun </t>
  </si>
  <si>
    <t xml:space="preserve">Tarima 6.25 x 2.50 a 30 cm </t>
  </si>
  <si>
    <t xml:space="preserve">Traslado ( Danli ) </t>
  </si>
  <si>
    <t>2025-036</t>
  </si>
  <si>
    <t xml:space="preserve">Viaticos , alimentacion  </t>
  </si>
  <si>
    <t>ISV 15%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</si>
</sst>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L&quot;* #,##0.00_-;\-&quot;L&quot;* #,##0.00_-;_-&quot;L&quot;* &quot;-&quot;??_-;_-@_-"/>
    <numFmt numFmtId="164" formatCode="_-[$L-480A]* #,##0.00_-;\-[$L-480A]* #,##0.00_-;_-[$L-480A]* &quot;-&quot;??_-;_-@_-"/>
  </numFmts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</borders>
  <cellStyleXfs count="4">
    <xf numFmtId="0" fontId="0" fillId="0" borderId="0"/>
    <xf numFmtId="0" fontId="5" fillId="4" borderId="0" applyNumberFormat="0" applyBorder="0" applyAlignment="0" applyProtection="0"/>
    <xf numFmtId="0" fontId="6" fillId="3" borderId="0" applyNumberFormat="0" applyBorder="0" applyAlignment="0" applyProtection="0"/>
    <xf numFmtId="44" fontId="6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4" fillId="2" borderId="3" xfId="1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3" fillId="5" borderId="7" xfId="0" applyFont="1" applyFill="1" applyBorder="1" applyAlignment="1">
      <alignment horizontal="center"/>
    </xf>
    <xf numFmtId="0" fontId="8" fillId="2" borderId="3" xfId="2" applyFont="1" applyFill="1" applyBorder="1" applyAlignment="1">
      <alignment horizontal="center"/>
    </xf>
    <xf numFmtId="164" fontId="8" fillId="2" borderId="3" xfId="2" applyNumberFormat="1" applyFont="1" applyFill="1" applyBorder="1"/>
    <xf numFmtId="164" fontId="9" fillId="2" borderId="3" xfId="0" applyNumberFormat="1" applyFont="1" applyFill="1" applyBorder="1"/>
    <xf numFmtId="0" fontId="6" fillId="3" borderId="3" xfId="2" applyBorder="1" applyAlignment="1">
      <alignment horizontal="center" vertical="center"/>
    </xf>
    <xf numFmtId="0" fontId="6" fillId="3" borderId="3" xfId="2" applyBorder="1" applyAlignment="1">
      <alignment horizontal="center"/>
    </xf>
    <xf numFmtId="1" fontId="0" fillId="0" borderId="1" xfId="3" applyNumberFormat="1" applyFont="1" applyBorder="1" applyAlignment="1">
      <alignment horizontal="center" vertical="center"/>
    </xf>
    <xf numFmtId="44" fontId="6" fillId="3" borderId="3" xfId="3" applyFill="1" applyBorder="1" applyAlignment="1"/>
    <xf numFmtId="44" fontId="6" fillId="3" borderId="3" xfId="3" applyFill="1" applyBorder="1" applyAlignment="1">
      <alignment vertical="center"/>
    </xf>
    <xf numFmtId="44" fontId="0" fillId="3" borderId="3" xfId="3" applyFont="1" applyFill="1" applyBorder="1" applyAlignment="1"/>
    <xf numFmtId="0" fontId="1" fillId="0" borderId="7" xfId="0" applyFont="1" applyBorder="1" applyAlignment="1">
      <alignment horizontal="center"/>
    </xf>
    <xf numFmtId="0" fontId="0" fillId="0" borderId="2" xfId="0" applyBorder="1"/>
    <xf numFmtId="0" fontId="0" fillId="3" borderId="5" xfId="2" applyFont="1" applyBorder="1" applyAlignment="1">
      <alignment horizontal="center"/>
    </xf>
    <xf numFmtId="0" fontId="0" fillId="3" borderId="6" xfId="2" applyFont="1" applyBorder="1" applyAlignment="1">
      <alignment horizontal="center"/>
    </xf>
    <xf numFmtId="0" fontId="0" fillId="3" borderId="4" xfId="2" applyFont="1" applyBorder="1" applyAlignment="1">
      <alignment horizontal="center"/>
    </xf>
    <xf numFmtId="0" fontId="0" fillId="3" borderId="5" xfId="2" applyFont="1" applyBorder="1" applyAlignment="1">
      <alignment horizontal="left"/>
    </xf>
    <xf numFmtId="0" fontId="6" fillId="3" borderId="6" xfId="2" applyBorder="1" applyAlignment="1">
      <alignment horizontal="left"/>
    </xf>
    <xf numFmtId="0" fontId="6" fillId="3" borderId="4" xfId="2" applyBorder="1" applyAlignment="1">
      <alignment horizontal="left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4" fillId="2" borderId="3" xfId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4">
    <cellStyle name="20% - Énfasis2" xfId="2" builtinId="34"/>
    <cellStyle name="Énfasis2" xfId="1" builtinId="33"/>
    <cellStyle name="Moneda" xfId="3" builtinId="4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31</xdr:row>
      <xdr:rowOff>83925</xdr:rowOff>
    </xdr:from>
    <xdr:to>
      <xdr:col>1</xdr:col>
      <xdr:colOff>113617</xdr:colOff>
      <xdr:row>33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17230" y="5823039"/>
          <a:ext cx="50716" cy="332411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7640"/>
          <a:ext cx="6648395" cy="1321632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1090246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82772" y="1507577"/>
          <a:ext cx="6634197" cy="4802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0</xdr:colOff>
      <xdr:row>25</xdr:row>
      <xdr:rowOff>163794</xdr:rowOff>
    </xdr:from>
    <xdr:to>
      <xdr:col>7</xdr:col>
      <xdr:colOff>1032075</xdr:colOff>
      <xdr:row>36</xdr:row>
      <xdr:rowOff>55382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0" y="5111971"/>
          <a:ext cx="6713316" cy="28817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120971</xdr:colOff>
      <xdr:row>34</xdr:row>
      <xdr:rowOff>601411</xdr:rowOff>
    </xdr:from>
    <xdr:to>
      <xdr:col>4</xdr:col>
      <xdr:colOff>168596</xdr:colOff>
      <xdr:row>36</xdr:row>
      <xdr:rowOff>320468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70522" y="7808364"/>
          <a:ext cx="2397719" cy="6947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Eufemio Josue Martinez  </a:t>
          </a:r>
          <a:endParaRPr lang="es-HN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838800</xdr:colOff>
      <xdr:row>34</xdr:row>
      <xdr:rowOff>612567</xdr:rowOff>
    </xdr:from>
    <xdr:to>
      <xdr:col>7</xdr:col>
      <xdr:colOff>991200</xdr:colOff>
      <xdr:row>38</xdr:row>
      <xdr:rowOff>147949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338445" y="7819520"/>
          <a:ext cx="3371316" cy="9311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  <xdr:twoCellAnchor editAs="oneCell">
    <xdr:from>
      <xdr:col>1</xdr:col>
      <xdr:colOff>48228</xdr:colOff>
      <xdr:row>33</xdr:row>
      <xdr:rowOff>152410</xdr:rowOff>
    </xdr:from>
    <xdr:to>
      <xdr:col>4</xdr:col>
      <xdr:colOff>318302</xdr:colOff>
      <xdr:row>36</xdr:row>
      <xdr:rowOff>192911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6118E961-06EB-244A-2746-ADE314D358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2557" y="6258056"/>
          <a:ext cx="2633239" cy="15645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4"/>
  <sheetViews>
    <sheetView tabSelected="1" view="pageLayout" topLeftCell="A2" zoomScale="79" zoomScaleNormal="100" zoomScaleSheetLayoutView="112" zoomScalePageLayoutView="79" workbookViewId="0">
      <selection activeCell="G27" sqref="G27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1.21875" customWidth="1"/>
    <col min="8" max="8" width="16.44140625" customWidth="1"/>
    <col min="9" max="9" width="9.21875" customWidth="1"/>
  </cols>
  <sheetData>
    <row r="1" spans="2:9">
      <c r="B1" s="25"/>
      <c r="C1" s="25"/>
      <c r="D1" s="25"/>
      <c r="E1" s="25"/>
      <c r="F1" s="25"/>
      <c r="G1" s="25"/>
      <c r="H1" s="25"/>
    </row>
    <row r="6" spans="2:9">
      <c r="H6" s="5" t="s">
        <v>12</v>
      </c>
      <c r="I6" s="1"/>
    </row>
    <row r="7" spans="2:9">
      <c r="H7" s="15" t="s">
        <v>28</v>
      </c>
    </row>
    <row r="12" spans="2:9" ht="12.6" customHeight="1">
      <c r="B12" s="26" t="s">
        <v>13</v>
      </c>
      <c r="C12" s="26"/>
      <c r="D12" s="27" t="s">
        <v>25</v>
      </c>
      <c r="E12" s="28"/>
      <c r="F12" t="s">
        <v>11</v>
      </c>
      <c r="G12" s="30" t="s">
        <v>24</v>
      </c>
      <c r="H12" s="30"/>
    </row>
    <row r="13" spans="2:9" ht="14.4" customHeight="1">
      <c r="B13" s="26" t="s">
        <v>0</v>
      </c>
      <c r="C13" s="26"/>
      <c r="D13" s="27" t="s">
        <v>20</v>
      </c>
      <c r="E13" s="28"/>
      <c r="F13" s="28"/>
      <c r="G13" s="28"/>
    </row>
    <row r="14" spans="2:9">
      <c r="B14" s="1" t="s">
        <v>1</v>
      </c>
      <c r="C14" s="1" t="s">
        <v>2</v>
      </c>
      <c r="D14" s="29" t="s">
        <v>3</v>
      </c>
      <c r="E14" s="29"/>
      <c r="F14" s="29" t="s">
        <v>10</v>
      </c>
      <c r="G14" s="29"/>
      <c r="H14" s="1" t="s">
        <v>14</v>
      </c>
    </row>
    <row r="15" spans="2:9">
      <c r="B15" s="2">
        <v>45686</v>
      </c>
      <c r="C15" s="1" t="s">
        <v>15</v>
      </c>
      <c r="D15" s="31" t="s">
        <v>21</v>
      </c>
      <c r="E15" s="32"/>
      <c r="F15" s="34" t="s">
        <v>22</v>
      </c>
      <c r="G15" s="30"/>
      <c r="H15" s="11"/>
    </row>
    <row r="16" spans="2:9" ht="15.6">
      <c r="B16" s="3" t="s">
        <v>4</v>
      </c>
      <c r="C16" s="3" t="s">
        <v>8</v>
      </c>
      <c r="D16" s="33" t="s">
        <v>5</v>
      </c>
      <c r="E16" s="33"/>
      <c r="F16" s="33"/>
      <c r="G16" s="3" t="s">
        <v>6</v>
      </c>
      <c r="H16" s="3" t="s">
        <v>7</v>
      </c>
    </row>
    <row r="17" spans="2:8">
      <c r="B17" s="9">
        <v>1</v>
      </c>
      <c r="C17" s="9">
        <v>1</v>
      </c>
      <c r="D17" s="20" t="s">
        <v>17</v>
      </c>
      <c r="E17" s="21"/>
      <c r="F17" s="22"/>
      <c r="G17" s="12">
        <v>14000</v>
      </c>
      <c r="H17" s="13">
        <f>G17*B17*C17</f>
        <v>14000</v>
      </c>
    </row>
    <row r="18" spans="2:8">
      <c r="B18" s="9">
        <v>2</v>
      </c>
      <c r="C18" s="9">
        <v>1</v>
      </c>
      <c r="D18" s="20" t="s">
        <v>18</v>
      </c>
      <c r="E18" s="21"/>
      <c r="F18" s="22"/>
      <c r="G18" s="12">
        <v>3000</v>
      </c>
      <c r="H18" s="13">
        <f>G18*B18*C18</f>
        <v>6000</v>
      </c>
    </row>
    <row r="19" spans="2:8">
      <c r="B19" s="10">
        <v>1</v>
      </c>
      <c r="C19" s="10">
        <v>1</v>
      </c>
      <c r="D19" s="20" t="s">
        <v>19</v>
      </c>
      <c r="E19" s="21"/>
      <c r="F19" s="22"/>
      <c r="G19" s="14">
        <v>4000</v>
      </c>
      <c r="H19" s="13">
        <f t="shared" ref="H19:H25" si="0">G19*B19*C19</f>
        <v>4000</v>
      </c>
    </row>
    <row r="20" spans="2:8">
      <c r="B20" s="10">
        <v>3</v>
      </c>
      <c r="C20" s="10">
        <v>1</v>
      </c>
      <c r="D20" s="20" t="s">
        <v>23</v>
      </c>
      <c r="E20" s="21"/>
      <c r="F20" s="22"/>
      <c r="G20" s="12">
        <v>1000</v>
      </c>
      <c r="H20" s="13">
        <f t="shared" si="0"/>
        <v>3000</v>
      </c>
    </row>
    <row r="21" spans="2:8">
      <c r="B21" s="10">
        <v>1</v>
      </c>
      <c r="C21" s="10">
        <v>1</v>
      </c>
      <c r="D21" s="20" t="s">
        <v>27</v>
      </c>
      <c r="E21" s="23"/>
      <c r="F21" s="24"/>
      <c r="G21" s="12">
        <v>2500</v>
      </c>
      <c r="H21" s="13">
        <f t="shared" si="0"/>
        <v>2500</v>
      </c>
    </row>
    <row r="22" spans="2:8" ht="16.2" customHeight="1">
      <c r="B22" s="10">
        <v>1</v>
      </c>
      <c r="C22" s="10">
        <v>2</v>
      </c>
      <c r="D22" s="20" t="s">
        <v>29</v>
      </c>
      <c r="E22" s="21"/>
      <c r="F22" s="22"/>
      <c r="G22" s="12">
        <v>2500</v>
      </c>
      <c r="H22" s="13">
        <f t="shared" si="0"/>
        <v>5000</v>
      </c>
    </row>
    <row r="23" spans="2:8" ht="16.2" customHeight="1">
      <c r="B23" s="10">
        <v>1</v>
      </c>
      <c r="C23" s="10">
        <v>1</v>
      </c>
      <c r="D23" s="20" t="s">
        <v>26</v>
      </c>
      <c r="E23" s="23"/>
      <c r="F23" s="24"/>
      <c r="G23" s="12">
        <v>4000</v>
      </c>
      <c r="H23" s="13">
        <f t="shared" si="0"/>
        <v>4000</v>
      </c>
    </row>
    <row r="24" spans="2:8" ht="16.2" customHeight="1">
      <c r="B24" s="10"/>
      <c r="C24" s="10"/>
      <c r="D24" s="20"/>
      <c r="E24" s="23"/>
      <c r="F24" s="24"/>
      <c r="G24" s="12"/>
      <c r="H24" s="13">
        <f t="shared" si="0"/>
        <v>0</v>
      </c>
    </row>
    <row r="25" spans="2:8">
      <c r="B25" s="9"/>
      <c r="C25" s="9"/>
      <c r="D25" s="17"/>
      <c r="E25" s="18"/>
      <c r="F25" s="19"/>
      <c r="G25" s="12"/>
      <c r="H25" s="13">
        <f t="shared" si="0"/>
        <v>0</v>
      </c>
    </row>
    <row r="26" spans="2:8">
      <c r="D26" s="16"/>
      <c r="E26" s="16"/>
      <c r="F26" s="16"/>
      <c r="G26" s="6" t="s">
        <v>9</v>
      </c>
      <c r="H26" s="7">
        <f>SUM(H17:H25)</f>
        <v>38500</v>
      </c>
    </row>
    <row r="27" spans="2:8">
      <c r="G27" s="6" t="s">
        <v>30</v>
      </c>
      <c r="H27" s="8">
        <f>H26+0.15</f>
        <v>38500.15</v>
      </c>
    </row>
    <row r="28" spans="2:8">
      <c r="G28" s="6" t="s">
        <v>16</v>
      </c>
      <c r="H28" s="8">
        <f>H27+H26</f>
        <v>77000.149999999994</v>
      </c>
    </row>
    <row r="34" spans="2:8" ht="31.8" customHeight="1"/>
    <row r="35" spans="2:8" ht="73.8" customHeight="1"/>
    <row r="37" spans="2:8" ht="27.6" customHeight="1"/>
    <row r="38" spans="2:8" ht="5.4" customHeight="1">
      <c r="B38" s="4"/>
      <c r="C38" s="4"/>
      <c r="D38" s="4"/>
      <c r="E38" s="4"/>
      <c r="F38" s="4"/>
      <c r="G38" s="4"/>
      <c r="H38" s="4"/>
    </row>
    <row r="40" spans="2:8" ht="25.2" customHeight="1"/>
    <row r="47" spans="2:8" ht="21" customHeight="1"/>
    <row r="49" ht="1.95" customHeight="1"/>
    <row r="50" ht="7.95" customHeight="1"/>
    <row r="51" ht="16.05" customHeight="1"/>
    <row r="53" ht="6" customHeight="1"/>
    <row r="54" ht="9.75" customHeight="1"/>
  </sheetData>
  <mergeCells count="21">
    <mergeCell ref="D15:E15"/>
    <mergeCell ref="D16:F16"/>
    <mergeCell ref="D17:F17"/>
    <mergeCell ref="F15:G15"/>
    <mergeCell ref="D19:F19"/>
    <mergeCell ref="D18:F18"/>
    <mergeCell ref="B1:H1"/>
    <mergeCell ref="B12:C12"/>
    <mergeCell ref="B13:C13"/>
    <mergeCell ref="D13:G13"/>
    <mergeCell ref="D14:E14"/>
    <mergeCell ref="D12:E12"/>
    <mergeCell ref="G12:H12"/>
    <mergeCell ref="F14:G14"/>
    <mergeCell ref="D26:F26"/>
    <mergeCell ref="D25:F25"/>
    <mergeCell ref="D20:F20"/>
    <mergeCell ref="D22:F22"/>
    <mergeCell ref="D21:F21"/>
    <mergeCell ref="D23:F23"/>
    <mergeCell ref="D24:F24"/>
  </mergeCells>
  <phoneticPr fontId="7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2025-01-29T15:14:56Z</cp:lastPrinted>
  <dcterms:created xsi:type="dcterms:W3CDTF">2022-10-19T19:05:00Z</dcterms:created>
  <dcterms:modified xsi:type="dcterms:W3CDTF">2025-01-29T16:07:49Z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