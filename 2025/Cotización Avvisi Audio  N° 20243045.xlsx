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944E895F-ADDB-4A9D-855B-FDEC6316CA07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" l="1"/>
  <c r="H28" i="1"/>
  <c r="H29" i="1"/>
  <c r="H30" i="1"/>
  <c r="H31" i="1"/>
  <c r="H32" i="1"/>
  <c r="H33" i="1"/>
  <c r="H18" i="1"/>
  <c r="H19" i="1"/>
  <c r="H20" i="1"/>
  <c r="H21" i="1"/>
  <c r="G22" i="1"/>
  <c r="H22" i="1" s="1"/>
  <c r="H23" i="1"/>
  <c r="H24" i="1"/>
  <c r="H25" i="1"/>
  <c r="H26" i="1"/>
  <c r="H35" i="1" l="1"/>
  <c r="H36" i="1" s="1"/>
  <c r="H37" i="1" s="1"/>
</calcChain>
</file>

<file path=xl/sharedStrings.xml><?xml version="1.0" encoding="utf-8"?>
<sst xmlns="http://schemas.openxmlformats.org/spreadsheetml/2006/main" count="42" uniqueCount="37">
  <si>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</si>
  <si>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</si>
  <si>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</si>
  <si>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</si>
  <si>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</si>
  <si>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</si>
  <si>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</si>
  <si>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</si>
  <si>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</si>
  <si>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</si>
  <si>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</si>
  <si>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</si>
  <si>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</si>
  <si>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</si>
  <si>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Eufemio Martinez </t>
  </si>
  <si>
    <t xml:space="preserve">ISV 15% </t>
  </si>
  <si>
    <t xml:space="preserve">Total </t>
  </si>
  <si>
    <t xml:space="preserve">N° Invitados </t>
  </si>
  <si>
    <t xml:space="preserve">No definido </t>
  </si>
  <si>
    <t>Tombola de acrilico</t>
  </si>
  <si>
    <t>2024-3045</t>
  </si>
  <si>
    <t>28 y 30 de agosto 2024</t>
  </si>
  <si>
    <t>Tegucigalpa, San Pedro Sula</t>
  </si>
  <si>
    <t>Corporativo</t>
  </si>
  <si>
    <t>SAN PEDRO SULA</t>
  </si>
  <si>
    <t>Tegucigalpa</t>
  </si>
  <si>
    <t>estructura de 2.5 x 4 para banner</t>
  </si>
  <si>
    <t>Luces roboticas 7r  230w en truss</t>
  </si>
  <si>
    <t xml:space="preserve">adicional de tarima 5 x 2.5  </t>
  </si>
  <si>
    <t xml:space="preserve">totem led 2x1 </t>
  </si>
  <si>
    <t xml:space="preserve">LAPCO Honduras </t>
  </si>
  <si>
    <t xml:space="preserve">Ampleacion de tarima SPS 2 metros </t>
  </si>
  <si>
    <t xml:space="preserve">Apliacion de estructura para banners </t>
  </si>
  <si>
    <t xml:space="preserve">Camara de video para circuito cerrado y controlador </t>
  </si>
  <si>
    <t xml:space="preserve">Reparacion de dombola </t>
  </si>
  <si>
    <t xml:space="preserve">Pantalla de 55 para stand </t>
  </si>
  <si>
    <t xml:space="preserve">Pantalla de 55 para monitor de pantalla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</si>
</sst>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13" fillId="4" borderId="5" applyNumberFormat="0" applyAlignment="0" applyProtection="0"/>
    <xf numFmtId="0" fontId="14" fillId="5" borderId="0" applyNumberFormat="0" applyBorder="0" applyAlignment="0" applyProtection="0"/>
    <xf numFmtId="0" fontId="15" fillId="3" borderId="0" applyNumberFormat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2" fillId="2" borderId="3" xfId="2" applyFont="1" applyFill="1" applyBorder="1" applyAlignment="1">
      <alignment horizontal="center"/>
    </xf>
    <xf numFmtId="0" fontId="15" fillId="3" borderId="3" xfId="3" applyBorder="1" applyAlignment="1">
      <alignment horizontal="center"/>
    </xf>
    <xf numFmtId="164" fontId="15" fillId="3" borderId="3" xfId="3" applyNumberFormat="1" applyBorder="1"/>
    <xf numFmtId="0" fontId="0" fillId="2" borderId="0" xfId="0" applyFill="1" applyAlignment="1">
      <alignment horizontal="center"/>
    </xf>
    <xf numFmtId="0" fontId="0" fillId="3" borderId="3" xfId="3" applyFont="1" applyBorder="1" applyAlignment="1">
      <alignment horizontal="center"/>
    </xf>
    <xf numFmtId="164" fontId="16" fillId="2" borderId="3" xfId="3" applyNumberFormat="1" applyFont="1" applyFill="1" applyBorder="1"/>
    <xf numFmtId="164" fontId="16" fillId="2" borderId="3" xfId="1" applyNumberFormat="1" applyFont="1" applyFill="1" applyBorder="1"/>
    <xf numFmtId="0" fontId="0" fillId="0" borderId="1" xfId="0" applyBorder="1" applyAlignment="1">
      <alignment horizontal="center"/>
    </xf>
    <xf numFmtId="0" fontId="11" fillId="6" borderId="8" xfId="0" applyFont="1" applyFill="1" applyBorder="1" applyAlignment="1">
      <alignment horizontal="center"/>
    </xf>
    <xf numFmtId="164" fontId="0" fillId="3" borderId="3" xfId="3" applyNumberFormat="1" applyFont="1" applyBorder="1"/>
    <xf numFmtId="164" fontId="15" fillId="3" borderId="3" xfId="3" applyNumberFormat="1" applyBorder="1" applyAlignment="1">
      <alignment vertical="center"/>
    </xf>
    <xf numFmtId="0" fontId="9" fillId="0" borderId="8" xfId="0" applyFont="1" applyBorder="1" applyAlignment="1">
      <alignment horizontal="center"/>
    </xf>
    <xf numFmtId="0" fontId="17" fillId="7" borderId="6" xfId="2" applyFont="1" applyFill="1" applyBorder="1" applyAlignment="1"/>
    <xf numFmtId="0" fontId="17" fillId="7" borderId="7" xfId="2" applyFont="1" applyFill="1" applyBorder="1" applyAlignment="1"/>
    <xf numFmtId="0" fontId="17" fillId="7" borderId="4" xfId="2" applyFont="1" applyFill="1" applyBorder="1" applyAlignment="1"/>
    <xf numFmtId="0" fontId="16" fillId="2" borderId="3" xfId="3" applyFont="1" applyFill="1" applyBorder="1" applyAlignment="1">
      <alignment horizontal="center"/>
    </xf>
    <xf numFmtId="0" fontId="18" fillId="0" borderId="0" xfId="0" applyFont="1"/>
    <xf numFmtId="0" fontId="3" fillId="3" borderId="6" xfId="3" applyFont="1" applyBorder="1" applyAlignment="1">
      <alignment horizontal="left" vertical="center"/>
    </xf>
    <xf numFmtId="0" fontId="9" fillId="3" borderId="7" xfId="3" applyFont="1" applyBorder="1" applyAlignment="1">
      <alignment horizontal="left" vertical="center"/>
    </xf>
    <xf numFmtId="0" fontId="9" fillId="3" borderId="4" xfId="3" applyFont="1" applyBorder="1" applyAlignment="1">
      <alignment horizontal="left" vertical="center"/>
    </xf>
    <xf numFmtId="0" fontId="6" fillId="3" borderId="6" xfId="3" applyFont="1" applyBorder="1" applyAlignment="1">
      <alignment horizontal="left" vertical="center"/>
    </xf>
    <xf numFmtId="0" fontId="8" fillId="3" borderId="6" xfId="3" applyFont="1" applyBorder="1" applyAlignment="1">
      <alignment horizontal="left" vertical="center"/>
    </xf>
    <xf numFmtId="0" fontId="7" fillId="3" borderId="7" xfId="3" applyFont="1" applyBorder="1" applyAlignment="1">
      <alignment horizontal="left" vertical="center"/>
    </xf>
    <xf numFmtId="0" fontId="7" fillId="3" borderId="4" xfId="3" applyFont="1" applyBorder="1" applyAlignment="1">
      <alignment horizontal="left" vertical="center"/>
    </xf>
    <xf numFmtId="0" fontId="4" fillId="3" borderId="6" xfId="3" applyFont="1" applyBorder="1" applyAlignment="1">
      <alignment horizontal="left" vertical="center"/>
    </xf>
    <xf numFmtId="0" fontId="6" fillId="3" borderId="7" xfId="3" applyFont="1" applyBorder="1" applyAlignment="1">
      <alignment horizontal="left" vertical="center"/>
    </xf>
    <xf numFmtId="0" fontId="6" fillId="3" borderId="4" xfId="3" applyFont="1" applyBorder="1" applyAlignment="1">
      <alignment horizontal="left" vertical="center"/>
    </xf>
    <xf numFmtId="0" fontId="4" fillId="3" borderId="7" xfId="3" applyFont="1" applyBorder="1" applyAlignment="1">
      <alignment horizontal="left" vertical="center"/>
    </xf>
    <xf numFmtId="0" fontId="4" fillId="3" borderId="4" xfId="3" applyFont="1" applyBorder="1" applyAlignment="1">
      <alignment horizontal="left" vertical="center"/>
    </xf>
    <xf numFmtId="0" fontId="2" fillId="3" borderId="6" xfId="3" applyFont="1" applyBorder="1" applyAlignment="1">
      <alignment horizontal="left" vertic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3" borderId="3" xfId="3" applyFont="1" applyBorder="1" applyAlignment="1">
      <alignment horizontal="left"/>
    </xf>
    <xf numFmtId="0" fontId="15" fillId="3" borderId="3" xfId="3" applyBorder="1" applyAlignment="1">
      <alignment horizontal="left"/>
    </xf>
    <xf numFmtId="0" fontId="8" fillId="3" borderId="6" xfId="3" applyFont="1" applyBorder="1" applyAlignment="1">
      <alignment horizontal="left"/>
    </xf>
    <xf numFmtId="0" fontId="10" fillId="3" borderId="7" xfId="3" applyFont="1" applyBorder="1" applyAlignment="1">
      <alignment horizontal="left"/>
    </xf>
    <xf numFmtId="0" fontId="10" fillId="3" borderId="4" xfId="3" applyFont="1" applyBorder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9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5" fillId="0" borderId="1" xfId="0" applyFont="1" applyBorder="1" applyAlignment="1">
      <alignment horizontal="left"/>
    </xf>
    <xf numFmtId="17" fontId="9" fillId="0" borderId="2" xfId="0" applyNumberFormat="1" applyFont="1" applyBorder="1" applyAlignment="1">
      <alignment horizontal="center"/>
    </xf>
    <xf numFmtId="0" fontId="12" fillId="2" borderId="3" xfId="2" applyFont="1" applyFill="1" applyBorder="1" applyAlignment="1">
      <alignment horizontal="center"/>
    </xf>
    <xf numFmtId="0" fontId="1" fillId="3" borderId="6" xfId="3" applyFont="1" applyBorder="1" applyAlignment="1">
      <alignment horizontal="left" vertical="center"/>
    </xf>
    <xf numFmtId="0" fontId="1" fillId="3" borderId="6" xfId="3" applyFont="1" applyBorder="1" applyAlignment="1">
      <alignment vertical="top"/>
    </xf>
    <xf numFmtId="0" fontId="9" fillId="3" borderId="7" xfId="3" applyFont="1" applyBorder="1" applyAlignment="1">
      <alignment vertical="top"/>
    </xf>
    <xf numFmtId="0" fontId="9" fillId="3" borderId="4" xfId="3" applyFont="1" applyBorder="1" applyAlignment="1">
      <alignment vertical="top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40</xdr:row>
      <xdr:rowOff>83925</xdr:rowOff>
    </xdr:from>
    <xdr:to>
      <xdr:col>1</xdr:col>
      <xdr:colOff>113617</xdr:colOff>
      <xdr:row>42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490554" y="7532864"/>
          <a:ext cx="50716" cy="339103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20986"/>
          <a:ext cx="6767685" cy="1345057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43863</xdr:colOff>
      <xdr:row>34</xdr:row>
      <xdr:rowOff>74839</xdr:rowOff>
    </xdr:from>
    <xdr:to>
      <xdr:col>7</xdr:col>
      <xdr:colOff>985663</xdr:colOff>
      <xdr:row>43</xdr:row>
      <xdr:rowOff>447029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43863" y="4476750"/>
          <a:ext cx="6738443" cy="20254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90623</xdr:colOff>
      <xdr:row>43</xdr:row>
      <xdr:rowOff>371475</xdr:rowOff>
    </xdr:from>
    <xdr:to>
      <xdr:col>4</xdr:col>
      <xdr:colOff>138248</xdr:colOff>
      <xdr:row>49</xdr:row>
      <xdr:rowOff>175713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519248" y="7161439"/>
          <a:ext cx="2313214" cy="1382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761637</xdr:colOff>
      <xdr:row>43</xdr:row>
      <xdr:rowOff>389164</xdr:rowOff>
    </xdr:from>
    <xdr:to>
      <xdr:col>7</xdr:col>
      <xdr:colOff>914037</xdr:colOff>
      <xdr:row>46</xdr:row>
      <xdr:rowOff>61231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455851" y="7179128"/>
          <a:ext cx="3254829" cy="6994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Cliente</a:t>
          </a:r>
        </a:p>
      </xdr:txBody>
    </xdr:sp>
    <xdr:clientData/>
  </xdr:twoCellAnchor>
  <xdr:twoCellAnchor editAs="oneCell">
    <xdr:from>
      <xdr:col>1</xdr:col>
      <xdr:colOff>115662</xdr:colOff>
      <xdr:row>41</xdr:row>
      <xdr:rowOff>31476</xdr:rowOff>
    </xdr:from>
    <xdr:to>
      <xdr:col>4</xdr:col>
      <xdr:colOff>347602</xdr:colOff>
      <xdr:row>47</xdr:row>
      <xdr:rowOff>32781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7F88375-528B-2BD7-2E26-E31BDBC53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725629">
          <a:off x="544287" y="6454047"/>
          <a:ext cx="2497529" cy="15797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70"/>
  <sheetViews>
    <sheetView tabSelected="1" view="pageBreakPreview" topLeftCell="A13" zoomScale="98" zoomScaleNormal="100" zoomScaleSheetLayoutView="112" zoomScalePageLayoutView="34" workbookViewId="0">
      <selection activeCell="B15" sqref="B15"/>
    </sheetView>
  </sheetViews>
  <sheetFormatPr baseColWidth="10" defaultColWidth="11" defaultRowHeight="14.4"/>
  <cols>
    <col min="1" max="1" width="6.218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41"/>
      <c r="C1" s="41"/>
      <c r="D1" s="41"/>
      <c r="E1" s="41"/>
      <c r="F1" s="41"/>
      <c r="G1" s="41"/>
      <c r="H1" s="41"/>
    </row>
    <row r="6" spans="2:9">
      <c r="H6" s="11" t="s">
        <v>13</v>
      </c>
      <c r="I6" s="1"/>
    </row>
    <row r="7" spans="2:9">
      <c r="H7" s="14" t="s">
        <v>20</v>
      </c>
    </row>
    <row r="12" spans="2:9" ht="12.6" customHeight="1">
      <c r="B12" s="42" t="s">
        <v>0</v>
      </c>
      <c r="C12" s="42"/>
      <c r="D12" s="46" t="s">
        <v>30</v>
      </c>
      <c r="E12" s="44"/>
      <c r="F12" t="s">
        <v>12</v>
      </c>
      <c r="G12" s="34" t="s">
        <v>14</v>
      </c>
      <c r="H12" s="34"/>
    </row>
    <row r="13" spans="2:9" ht="14.4" customHeight="1">
      <c r="B13" s="42" t="s">
        <v>1</v>
      </c>
      <c r="C13" s="42"/>
      <c r="D13" s="43" t="s">
        <v>22</v>
      </c>
      <c r="E13" s="44"/>
      <c r="F13" s="44"/>
      <c r="G13" s="44"/>
    </row>
    <row r="14" spans="2:9">
      <c r="B14" s="1" t="s">
        <v>2</v>
      </c>
      <c r="C14" s="1" t="s">
        <v>3</v>
      </c>
      <c r="D14" s="45" t="s">
        <v>4</v>
      </c>
      <c r="E14" s="45"/>
      <c r="F14" s="45" t="s">
        <v>11</v>
      </c>
      <c r="G14" s="45"/>
      <c r="H14" s="1" t="s">
        <v>17</v>
      </c>
    </row>
    <row r="15" spans="2:9">
      <c r="B15" s="2">
        <v>45534</v>
      </c>
      <c r="C15" s="1"/>
      <c r="D15" s="47" t="s">
        <v>21</v>
      </c>
      <c r="E15" s="45"/>
      <c r="F15" s="33" t="s">
        <v>23</v>
      </c>
      <c r="G15" s="34"/>
      <c r="H15" s="10" t="s">
        <v>18</v>
      </c>
    </row>
    <row r="16" spans="2:9" ht="15.6">
      <c r="B16" s="3" t="s">
        <v>5</v>
      </c>
      <c r="C16" s="3" t="s">
        <v>9</v>
      </c>
      <c r="D16" s="48" t="s">
        <v>6</v>
      </c>
      <c r="E16" s="48"/>
      <c r="F16" s="48"/>
      <c r="G16" s="3" t="s">
        <v>7</v>
      </c>
      <c r="H16" s="3" t="s">
        <v>8</v>
      </c>
    </row>
    <row r="17" spans="2:8">
      <c r="B17" s="15" t="s">
        <v>24</v>
      </c>
      <c r="C17" s="16"/>
      <c r="D17" s="16"/>
      <c r="E17" s="16"/>
      <c r="F17" s="16"/>
      <c r="G17" s="16"/>
      <c r="H17" s="17"/>
    </row>
    <row r="18" spans="2:8">
      <c r="B18" s="4">
        <v>1</v>
      </c>
      <c r="C18" s="7">
        <v>1</v>
      </c>
      <c r="D18" s="35" t="s">
        <v>19</v>
      </c>
      <c r="E18" s="36"/>
      <c r="F18" s="36"/>
      <c r="G18" s="12">
        <v>2000</v>
      </c>
      <c r="H18" s="13">
        <f t="shared" ref="H18" si="0">(G18*B18)*C18</f>
        <v>2000</v>
      </c>
    </row>
    <row r="19" spans="2:8">
      <c r="B19" s="4">
        <v>1</v>
      </c>
      <c r="C19" s="7">
        <v>1</v>
      </c>
      <c r="D19" s="37" t="s">
        <v>26</v>
      </c>
      <c r="E19" s="38"/>
      <c r="F19" s="39"/>
      <c r="G19" s="5">
        <v>4500</v>
      </c>
      <c r="H19" s="13">
        <f>(G19*B19)*C19</f>
        <v>4500</v>
      </c>
    </row>
    <row r="20" spans="2:8">
      <c r="B20" s="4">
        <v>6</v>
      </c>
      <c r="C20" s="7">
        <v>1</v>
      </c>
      <c r="D20" s="24" t="s">
        <v>27</v>
      </c>
      <c r="E20" s="21"/>
      <c r="F20" s="22"/>
      <c r="G20" s="5">
        <v>700</v>
      </c>
      <c r="H20" s="13">
        <f t="shared" ref="H20" si="1">(G20*B20)*C20</f>
        <v>4200</v>
      </c>
    </row>
    <row r="21" spans="2:8">
      <c r="B21" s="4">
        <v>1</v>
      </c>
      <c r="C21" s="7">
        <v>1</v>
      </c>
      <c r="D21" s="20" t="s">
        <v>28</v>
      </c>
      <c r="E21" s="21"/>
      <c r="F21" s="22"/>
      <c r="G21" s="5">
        <v>3000</v>
      </c>
      <c r="H21" s="13">
        <f t="shared" ref="H21:H34" si="2">(G21*B21)*C21</f>
        <v>3000</v>
      </c>
    </row>
    <row r="22" spans="2:8">
      <c r="B22" s="4">
        <v>1</v>
      </c>
      <c r="C22" s="7">
        <v>1</v>
      </c>
      <c r="D22" s="23" t="s">
        <v>29</v>
      </c>
      <c r="E22" s="25"/>
      <c r="F22" s="26"/>
      <c r="G22" s="5">
        <f>8*500</f>
        <v>4000</v>
      </c>
      <c r="H22" s="13">
        <f t="shared" si="2"/>
        <v>4000</v>
      </c>
    </row>
    <row r="23" spans="2:8">
      <c r="B23" s="4">
        <v>1</v>
      </c>
      <c r="C23" s="7">
        <v>1</v>
      </c>
      <c r="D23" s="27" t="s">
        <v>31</v>
      </c>
      <c r="E23" s="28"/>
      <c r="F23" s="29"/>
      <c r="G23" s="5">
        <v>1000</v>
      </c>
      <c r="H23" s="13">
        <f t="shared" si="2"/>
        <v>1000</v>
      </c>
    </row>
    <row r="24" spans="2:8">
      <c r="B24" s="4">
        <v>1</v>
      </c>
      <c r="C24" s="7">
        <v>1</v>
      </c>
      <c r="D24" s="27" t="s">
        <v>33</v>
      </c>
      <c r="E24" s="30"/>
      <c r="F24" s="31"/>
      <c r="G24" s="5">
        <v>3000</v>
      </c>
      <c r="H24" s="13">
        <f t="shared" si="2"/>
        <v>3000</v>
      </c>
    </row>
    <row r="25" spans="2:8">
      <c r="B25" s="4">
        <v>1</v>
      </c>
      <c r="C25" s="7">
        <v>1</v>
      </c>
      <c r="D25" s="27" t="s">
        <v>32</v>
      </c>
      <c r="E25" s="28"/>
      <c r="F25" s="29"/>
      <c r="G25" s="5">
        <v>3000</v>
      </c>
      <c r="H25" s="13">
        <f t="shared" si="2"/>
        <v>3000</v>
      </c>
    </row>
    <row r="26" spans="2:8">
      <c r="B26" s="4">
        <v>1</v>
      </c>
      <c r="C26" s="7">
        <v>1</v>
      </c>
      <c r="D26" s="32" t="s">
        <v>34</v>
      </c>
      <c r="E26" s="28"/>
      <c r="F26" s="29"/>
      <c r="G26" s="5">
        <v>1750</v>
      </c>
      <c r="H26" s="13">
        <f>(G26*B26)*C26</f>
        <v>1750</v>
      </c>
    </row>
    <row r="27" spans="2:8">
      <c r="B27" s="15" t="s">
        <v>25</v>
      </c>
      <c r="C27" s="16"/>
      <c r="D27" s="16"/>
      <c r="E27" s="16"/>
      <c r="F27" s="16"/>
      <c r="G27" s="16"/>
      <c r="H27" s="16"/>
    </row>
    <row r="28" spans="2:8">
      <c r="B28" s="4">
        <v>1</v>
      </c>
      <c r="C28" s="7">
        <v>1</v>
      </c>
      <c r="D28" s="35" t="s">
        <v>19</v>
      </c>
      <c r="E28" s="36"/>
      <c r="F28" s="36"/>
      <c r="G28" s="12">
        <v>2000</v>
      </c>
      <c r="H28" s="13">
        <f t="shared" si="2"/>
        <v>2000</v>
      </c>
    </row>
    <row r="29" spans="2:8">
      <c r="B29" s="4">
        <v>1</v>
      </c>
      <c r="C29" s="7">
        <v>1</v>
      </c>
      <c r="D29" s="37" t="s">
        <v>26</v>
      </c>
      <c r="E29" s="38"/>
      <c r="F29" s="39"/>
      <c r="G29" s="5">
        <v>4500</v>
      </c>
      <c r="H29" s="13">
        <f t="shared" si="2"/>
        <v>4500</v>
      </c>
    </row>
    <row r="30" spans="2:8">
      <c r="B30" s="4">
        <v>6</v>
      </c>
      <c r="C30" s="7">
        <v>1</v>
      </c>
      <c r="D30" s="24" t="s">
        <v>27</v>
      </c>
      <c r="E30" s="21"/>
      <c r="F30" s="22"/>
      <c r="G30" s="5">
        <v>700</v>
      </c>
      <c r="H30" s="13">
        <f t="shared" si="2"/>
        <v>4200</v>
      </c>
    </row>
    <row r="31" spans="2:8">
      <c r="B31" s="4">
        <v>1</v>
      </c>
      <c r="C31" s="7">
        <v>1</v>
      </c>
      <c r="D31" s="49" t="s">
        <v>33</v>
      </c>
      <c r="E31" s="21"/>
      <c r="F31" s="22"/>
      <c r="G31" s="12">
        <v>3000</v>
      </c>
      <c r="H31" s="13">
        <f t="shared" si="2"/>
        <v>3000</v>
      </c>
    </row>
    <row r="32" spans="2:8">
      <c r="B32" s="4">
        <v>1</v>
      </c>
      <c r="C32" s="7">
        <v>1</v>
      </c>
      <c r="D32" s="49" t="s">
        <v>34</v>
      </c>
      <c r="E32" s="21"/>
      <c r="F32" s="22"/>
      <c r="G32" s="12">
        <v>1750</v>
      </c>
      <c r="H32" s="13">
        <f t="shared" si="2"/>
        <v>1750</v>
      </c>
    </row>
    <row r="33" spans="2:9">
      <c r="B33" s="4">
        <v>1</v>
      </c>
      <c r="C33" s="7">
        <v>1</v>
      </c>
      <c r="D33" s="50" t="s">
        <v>35</v>
      </c>
      <c r="E33" s="51"/>
      <c r="F33" s="52"/>
      <c r="G33" s="12">
        <v>1500</v>
      </c>
      <c r="H33" s="13">
        <f t="shared" si="2"/>
        <v>1500</v>
      </c>
    </row>
    <row r="34" spans="2:9">
      <c r="B34" s="4">
        <v>1</v>
      </c>
      <c r="C34" s="7">
        <v>1</v>
      </c>
      <c r="D34" s="50" t="s">
        <v>36</v>
      </c>
      <c r="E34" s="51"/>
      <c r="F34" s="52"/>
      <c r="G34" s="12">
        <v>1500</v>
      </c>
      <c r="H34" s="13">
        <f t="shared" si="2"/>
        <v>1500</v>
      </c>
    </row>
    <row r="35" spans="2:9">
      <c r="D35" s="40"/>
      <c r="E35" s="40"/>
      <c r="F35" s="40"/>
      <c r="G35" s="18" t="s">
        <v>10</v>
      </c>
      <c r="H35" s="8">
        <f>SUM(H18:H34)</f>
        <v>44900</v>
      </c>
    </row>
    <row r="36" spans="2:9">
      <c r="G36" s="18" t="s">
        <v>15</v>
      </c>
      <c r="H36" s="8">
        <f>H35*0.15</f>
        <v>6735</v>
      </c>
      <c r="I36" s="19"/>
    </row>
    <row r="37" spans="2:9">
      <c r="G37" s="18" t="s">
        <v>16</v>
      </c>
      <c r="H37" s="9">
        <f>H35+H36</f>
        <v>51635</v>
      </c>
    </row>
    <row r="44" spans="2:9" ht="52.2" customHeight="1"/>
    <row r="47" spans="2:9">
      <c r="B47" s="6"/>
      <c r="C47" s="6"/>
      <c r="D47" s="6"/>
      <c r="E47" s="6"/>
      <c r="F47" s="6"/>
      <c r="G47" s="6"/>
      <c r="H47" s="6"/>
    </row>
    <row r="53" ht="27.6" customHeight="1"/>
    <row r="54" ht="5.4" customHeight="1"/>
    <row r="56" ht="25.2" customHeight="1"/>
    <row r="63" ht="21" customHeight="1"/>
    <row r="65" ht="1.95" customHeight="1"/>
    <row r="66" ht="7.95" customHeight="1"/>
    <row r="67" ht="16.05" customHeight="1"/>
    <row r="69" ht="6" customHeight="1"/>
    <row r="70" ht="9.75" customHeight="1"/>
  </sheetData>
  <mergeCells count="26">
    <mergeCell ref="F15:G15"/>
    <mergeCell ref="D28:F28"/>
    <mergeCell ref="D29:F29"/>
    <mergeCell ref="D35:F35"/>
    <mergeCell ref="B1:H1"/>
    <mergeCell ref="B12:C12"/>
    <mergeCell ref="B13:C13"/>
    <mergeCell ref="D13:G13"/>
    <mergeCell ref="D14:E14"/>
    <mergeCell ref="D12:E12"/>
    <mergeCell ref="G12:H12"/>
    <mergeCell ref="F14:G14"/>
    <mergeCell ref="D18:F18"/>
    <mergeCell ref="D19:F19"/>
    <mergeCell ref="D15:E15"/>
    <mergeCell ref="D16:F16"/>
    <mergeCell ref="D30:F30"/>
    <mergeCell ref="D31:F31"/>
    <mergeCell ref="D32:F32"/>
    <mergeCell ref="D21:F21"/>
    <mergeCell ref="D20:F20"/>
    <mergeCell ref="D22:F22"/>
    <mergeCell ref="D25:F25"/>
    <mergeCell ref="D23:F23"/>
    <mergeCell ref="D24:F24"/>
    <mergeCell ref="D26:F26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2024-09-03T20:51:46Z</cp:lastPrinted>
  <dcterms:created xsi:type="dcterms:W3CDTF">2022-10-19T19:05:00Z</dcterms:created>
  <dcterms:modified xsi:type="dcterms:W3CDTF">2024-09-10T14:50:15Z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