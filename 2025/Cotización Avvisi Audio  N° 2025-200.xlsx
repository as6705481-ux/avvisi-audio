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 checkCompatibility="1"/>
  <mc:AlternateContent xmlns:mc="http://schemas.openxmlformats.org/markup-compatibility/2006">
    <mc:Choice Requires="x15">
      <x15ac:absPath xmlns:x15ac="http://schemas.microsoft.com/office/spreadsheetml/2010/11/ac" url="C:\Users\HUAWEI\Desktop\"/>
    </mc:Choice>
  </mc:AlternateContent>
  <xr:revisionPtr revIDLastSave="0" documentId="13_ncr:1_{E66436CC-15C6-491D-A022-291203503000}" xr6:coauthVersionLast="47" xr6:coauthVersionMax="47" xr10:uidLastSave="{00000000-0000-0000-0000-000000000000}"/>
  <bookViews>
    <workbookView xWindow="-108" yWindow="-108" windowWidth="23256" windowHeight="12456" tabRatio="596" xr2:uid="{00000000-000D-0000-FFFF-FFFF00000000}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8" i="1" l="1"/>
  <c r="H27" i="1"/>
  <c r="H26" i="1"/>
  <c r="G25" i="1"/>
  <c r="H29" i="1"/>
  <c r="H24" i="1"/>
  <c r="H23" i="1"/>
  <c r="H20" i="1"/>
  <c r="H19" i="1"/>
  <c r="H30" i="1" l="1"/>
  <c r="H31" i="1" l="1"/>
  <c r="H32" i="1" s="1"/>
</calcChain>
</file>

<file path=xl/sharedStrings.xml><?xml version="1.0" encoding="utf-8"?>
<sst xmlns="http://schemas.openxmlformats.org/spreadsheetml/2006/main" count="36" uniqueCount="35">
  <si>
    <t xml:space="preserve">Lugar del Evento     </t>
  </si>
  <si>
    <t xml:space="preserve">Fecha Emitida </t>
  </si>
  <si>
    <t xml:space="preserve">Tiempo </t>
  </si>
  <si>
    <t xml:space="preserve">Fecha Cotizada </t>
  </si>
  <si>
    <t>Cantidad</t>
  </si>
  <si>
    <t>Descripción</t>
  </si>
  <si>
    <t>Unidad</t>
  </si>
  <si>
    <t>Total</t>
  </si>
  <si>
    <t>Dias</t>
  </si>
  <si>
    <t xml:space="preserve">Sub Total </t>
  </si>
  <si>
    <t xml:space="preserve">Tipo de evento </t>
  </si>
  <si>
    <t>Ejecutivo de Venta</t>
  </si>
  <si>
    <t>Cotizacion N°</t>
  </si>
  <si>
    <t xml:space="preserve">N° Invitados </t>
  </si>
  <si>
    <t xml:space="preserve">Cliente </t>
  </si>
  <si>
    <t xml:space="preserve">Eufemio Martinez </t>
  </si>
  <si>
    <t>ISV 15 %</t>
  </si>
  <si>
    <t>RTN</t>
  </si>
  <si>
    <t xml:space="preserve">1 dia </t>
  </si>
  <si>
    <t xml:space="preserve">Tegucigalpa / San pedro sula </t>
  </si>
  <si>
    <t>Audio profesional</t>
  </si>
  <si>
    <t>Microfonos de Diadema</t>
  </si>
  <si>
    <t>Microfonos inalambrimos sm58</t>
  </si>
  <si>
    <t>Mesas Cocteleras</t>
  </si>
  <si>
    <t xml:space="preserve">Sillas cocteleras </t>
  </si>
  <si>
    <t>TV en Truss 70</t>
  </si>
  <si>
    <t xml:space="preserve">Refrescos en Lata </t>
  </si>
  <si>
    <t>Mesero</t>
  </si>
  <si>
    <t>Hielera con hielo</t>
  </si>
  <si>
    <t xml:space="preserve">Cliente Final </t>
  </si>
  <si>
    <t>2025-200</t>
  </si>
  <si>
    <t>Cocteles</t>
  </si>
  <si>
    <t>Backing 3.60x2.50</t>
  </si>
  <si>
    <t xml:space="preserve">Tarima 3.75x3.75 forrado de gris </t>
  </si>
  <si>
    <t>Bandejas de boquitas 4 piezas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</si>
</sst>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L-480A]* #,##0.00_-;\-[$L-480A]* #,##0.00_-;_-[$L-480A]* &quot;-&quot;??_-;_-@_-"/>
  </numFmts>
  <fonts count="12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0"/>
      <name val="Calibri"/>
      <charset val="134"/>
      <scheme val="minor"/>
    </font>
    <font>
      <sz val="11"/>
      <color theme="0"/>
      <name val="Calibri"/>
      <charset val="134"/>
      <scheme val="minor"/>
    </font>
    <font>
      <sz val="11"/>
      <color theme="1"/>
      <name val="Calibri"/>
      <charset val="134"/>
      <scheme val="minor"/>
    </font>
    <font>
      <sz val="8"/>
      <name val="Calibri"/>
      <charset val="134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D5B13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FD5B13"/>
      </left>
      <right style="thin">
        <color rgb="FFFD5B13"/>
      </right>
      <top style="thin">
        <color rgb="FFFD5B13"/>
      </top>
      <bottom style="thin">
        <color rgb="FFFD5B13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0" fontId="6" fillId="4" borderId="0" applyNumberFormat="0" applyBorder="0" applyAlignment="0" applyProtection="0"/>
    <xf numFmtId="0" fontId="7" fillId="3" borderId="0" applyNumberFormat="0" applyBorder="0" applyAlignment="0" applyProtection="0"/>
  </cellStyleXfs>
  <cellXfs count="44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5" fillId="2" borderId="3" xfId="1" applyFont="1" applyFill="1" applyBorder="1" applyAlignment="1">
      <alignment horizontal="center"/>
    </xf>
    <xf numFmtId="0" fontId="7" fillId="3" borderId="3" xfId="2" applyBorder="1" applyAlignment="1">
      <alignment horizontal="center"/>
    </xf>
    <xf numFmtId="0" fontId="0" fillId="2" borderId="0" xfId="0" applyFill="1" applyAlignment="1">
      <alignment horizontal="center"/>
    </xf>
    <xf numFmtId="0" fontId="0" fillId="3" borderId="3" xfId="2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4" fillId="5" borderId="7" xfId="0" applyFont="1" applyFill="1" applyBorder="1" applyAlignment="1">
      <alignment horizontal="center"/>
    </xf>
    <xf numFmtId="164" fontId="7" fillId="3" borderId="3" xfId="2" applyNumberFormat="1" applyBorder="1" applyAlignment="1"/>
    <xf numFmtId="0" fontId="9" fillId="2" borderId="3" xfId="2" applyFont="1" applyFill="1" applyBorder="1" applyAlignment="1">
      <alignment horizontal="center"/>
    </xf>
    <xf numFmtId="164" fontId="9" fillId="2" borderId="3" xfId="2" applyNumberFormat="1" applyFont="1" applyFill="1" applyBorder="1"/>
    <xf numFmtId="164" fontId="10" fillId="2" borderId="3" xfId="0" applyNumberFormat="1" applyFont="1" applyFill="1" applyBorder="1"/>
    <xf numFmtId="164" fontId="7" fillId="3" borderId="5" xfId="2" applyNumberFormat="1" applyBorder="1" applyAlignment="1">
      <alignment horizontal="center"/>
    </xf>
    <xf numFmtId="164" fontId="7" fillId="3" borderId="5" xfId="2" applyNumberFormat="1" applyBorder="1" applyAlignment="1"/>
    <xf numFmtId="164" fontId="0" fillId="3" borderId="5" xfId="2" applyNumberFormat="1" applyFont="1" applyBorder="1" applyAlignment="1"/>
    <xf numFmtId="0" fontId="5" fillId="2" borderId="8" xfId="1" applyFont="1" applyFill="1" applyBorder="1" applyAlignment="1">
      <alignment horizontal="center"/>
    </xf>
    <xf numFmtId="164" fontId="7" fillId="3" borderId="9" xfId="2" applyNumberFormat="1" applyBorder="1" applyAlignment="1">
      <alignment horizontal="center"/>
    </xf>
    <xf numFmtId="0" fontId="0" fillId="3" borderId="5" xfId="2" applyFont="1" applyBorder="1" applyAlignment="1">
      <alignment horizontal="left"/>
    </xf>
    <xf numFmtId="0" fontId="0" fillId="3" borderId="6" xfId="2" applyFont="1" applyBorder="1" applyAlignment="1">
      <alignment horizontal="left"/>
    </xf>
    <xf numFmtId="0" fontId="0" fillId="3" borderId="4" xfId="2" applyFont="1" applyBorder="1" applyAlignment="1">
      <alignment horizontal="left"/>
    </xf>
    <xf numFmtId="0" fontId="1" fillId="0" borderId="7" xfId="0" applyFont="1" applyBorder="1" applyAlignment="1">
      <alignment horizontal="center"/>
    </xf>
    <xf numFmtId="0" fontId="11" fillId="0" borderId="0" xfId="0" applyFont="1"/>
    <xf numFmtId="0" fontId="0" fillId="3" borderId="3" xfId="2" applyFont="1" applyBorder="1" applyAlignment="1">
      <alignment horizontal="left"/>
    </xf>
    <xf numFmtId="0" fontId="7" fillId="3" borderId="3" xfId="2" applyBorder="1" applyAlignment="1">
      <alignment horizontal="left"/>
    </xf>
    <xf numFmtId="0" fontId="0" fillId="3" borderId="5" xfId="2" applyFont="1" applyBorder="1" applyAlignment="1">
      <alignment horizontal="left"/>
    </xf>
    <xf numFmtId="0" fontId="0" fillId="3" borderId="6" xfId="2" applyFont="1" applyBorder="1" applyAlignment="1">
      <alignment horizontal="left"/>
    </xf>
    <xf numFmtId="0" fontId="0" fillId="3" borderId="4" xfId="2" applyFont="1" applyBorder="1" applyAlignment="1">
      <alignment horizontal="left"/>
    </xf>
    <xf numFmtId="0" fontId="0" fillId="0" borderId="2" xfId="0" applyBorder="1"/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0" fillId="0" borderId="2" xfId="0" applyBorder="1" applyAlignment="1">
      <alignment horizontal="center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/>
    </xf>
    <xf numFmtId="1" fontId="0" fillId="0" borderId="6" xfId="0" applyNumberFormat="1" applyBorder="1" applyAlignment="1">
      <alignment horizontal="center"/>
    </xf>
    <xf numFmtId="0" fontId="1" fillId="0" borderId="6" xfId="0" applyFont="1" applyBorder="1" applyAlignment="1">
      <alignment horizontal="left"/>
    </xf>
    <xf numFmtId="0" fontId="3" fillId="0" borderId="6" xfId="0" applyFont="1" applyBorder="1" applyAlignment="1">
      <alignment horizontal="left"/>
    </xf>
    <xf numFmtId="14" fontId="2" fillId="0" borderId="2" xfId="0" applyNumberFormat="1" applyFont="1" applyBorder="1" applyAlignment="1">
      <alignment horizontal="center"/>
    </xf>
    <xf numFmtId="14" fontId="0" fillId="0" borderId="2" xfId="0" applyNumberFormat="1" applyBorder="1" applyAlignment="1">
      <alignment horizontal="center"/>
    </xf>
    <xf numFmtId="0" fontId="5" fillId="2" borderId="3" xfId="1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3" borderId="3" xfId="2" applyNumberFormat="1" applyFont="1" applyBorder="1" applyAlignment="1">
      <alignment horizontal="left"/>
    </xf>
    <xf numFmtId="0" fontId="7" fillId="3" borderId="3" xfId="2" applyNumberFormat="1" applyBorder="1" applyAlignment="1">
      <alignment horizontal="left"/>
    </xf>
  </cellXfs>
  <cellStyles count="3">
    <cellStyle name="20% - Énfasis2" xfId="2" builtinId="34"/>
    <cellStyle name="Énfasis2" xfId="1" builtinId="33"/>
    <cellStyle name="Normal" xfId="0" builtinId="0"/>
  </cellStyles>
  <dxfs count="0"/>
  <tableStyles count="0" defaultTableStyle="TableStyleMedium2" defaultPivotStyle="PivotStyleLight16"/>
  <colors>
    <mruColors>
      <color rgb="FFFD5B1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62901</xdr:colOff>
      <xdr:row>35</xdr:row>
      <xdr:rowOff>83925</xdr:rowOff>
    </xdr:from>
    <xdr:to>
      <xdr:col>1</xdr:col>
      <xdr:colOff>113617</xdr:colOff>
      <xdr:row>37</xdr:row>
      <xdr:rowOff>49804</xdr:rowOff>
    </xdr:to>
    <xdr:grpSp>
      <xdr:nvGrpSpPr>
        <xdr:cNvPr id="24" name="Group 4792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GrpSpPr/>
      </xdr:nvGrpSpPr>
      <xdr:grpSpPr>
        <a:xfrm>
          <a:off x="213987" y="6508373"/>
          <a:ext cx="50716" cy="333741"/>
          <a:chOff x="0" y="0"/>
          <a:chExt cx="53443" cy="456762"/>
        </a:xfrm>
      </xdr:grpSpPr>
      <xdr:sp macro="" textlink="">
        <xdr:nvSpPr>
          <xdr:cNvPr id="26" name="Rectangle 136">
            <a:extLst>
              <a:ext uri="{FF2B5EF4-FFF2-40B4-BE49-F238E27FC236}">
                <a16:creationId xmlns:a16="http://schemas.microsoft.com/office/drawing/2014/main" id="{00000000-0008-0000-0000-00001A000000}"/>
              </a:ext>
            </a:extLst>
          </xdr:cNvPr>
          <xdr:cNvSpPr/>
        </xdr:nvSpPr>
        <xdr:spPr>
          <a:xfrm>
            <a:off x="0" y="0"/>
            <a:ext cx="53443" cy="240862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6350" indent="-6350">
              <a:lnSpc>
                <a:spcPct val="107000"/>
              </a:lnSpc>
              <a:spcAft>
                <a:spcPts val="800"/>
              </a:spcAft>
            </a:pPr>
            <a:r>
              <a:rPr lang="es-HN" sz="1400">
                <a:solidFill>
                  <a:srgbClr val="000000"/>
                </a:solidFill>
                <a:effectLst/>
                <a:latin typeface="Calibri" panose="020F0502020204030204" pitchFamily="34" charset="0"/>
                <a:ea typeface="Calibri" panose="020F0502020204030204" pitchFamily="34" charset="0"/>
              </a:rPr>
              <a:t> </a:t>
            </a:r>
            <a:endParaRPr lang="es-H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  <xdr:sp macro="" textlink="">
        <xdr:nvSpPr>
          <xdr:cNvPr id="27" name="Rectangle 137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/>
        </xdr:nvSpPr>
        <xdr:spPr>
          <a:xfrm>
            <a:off x="0" y="215900"/>
            <a:ext cx="53443" cy="240862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6350" indent="-6350">
              <a:lnSpc>
                <a:spcPct val="107000"/>
              </a:lnSpc>
              <a:spcAft>
                <a:spcPts val="800"/>
              </a:spcAft>
            </a:pPr>
            <a:r>
              <a:rPr lang="es-HN" sz="1400">
                <a:solidFill>
                  <a:srgbClr val="000000"/>
                </a:solidFill>
                <a:effectLst/>
                <a:latin typeface="Calibri" panose="020F0502020204030204" pitchFamily="34" charset="0"/>
                <a:ea typeface="Calibri" panose="020F0502020204030204" pitchFamily="34" charset="0"/>
              </a:rPr>
              <a:t> </a:t>
            </a:r>
            <a:endParaRPr lang="es-H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</xdr:grpSp>
    <xdr:clientData/>
  </xdr:twoCellAnchor>
  <xdr:twoCellAnchor>
    <xdr:from>
      <xdr:col>0</xdr:col>
      <xdr:colOff>0</xdr:colOff>
      <xdr:row>1</xdr:row>
      <xdr:rowOff>34374</xdr:rowOff>
    </xdr:from>
    <xdr:to>
      <xdr:col>7</xdr:col>
      <xdr:colOff>967154</xdr:colOff>
      <xdr:row>8</xdr:row>
      <xdr:rowOff>73145</xdr:rowOff>
    </xdr:to>
    <xdr:grpSp>
      <xdr:nvGrpSpPr>
        <xdr:cNvPr id="2" name="Group 479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0" y="218305"/>
          <a:ext cx="6682154" cy="1326288"/>
          <a:chOff x="-81785" y="149670"/>
          <a:chExt cx="6641070" cy="1685316"/>
        </a:xfrm>
      </xdr:grpSpPr>
      <xdr:sp macro="" textlink="">
        <xdr:nvSpPr>
          <xdr:cNvPr id="3" name="Shape 5223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SpPr/>
        </xdr:nvSpPr>
        <xdr:spPr>
          <a:xfrm>
            <a:off x="1503434" y="538864"/>
            <a:ext cx="5055851" cy="72482"/>
          </a:xfrm>
          <a:custGeom>
            <a:avLst/>
            <a:gdLst/>
            <a:ahLst/>
            <a:cxnLst/>
            <a:rect l="0" t="0" r="0" b="0"/>
            <a:pathLst>
              <a:path w="6045200" h="101600">
                <a:moveTo>
                  <a:pt x="0" y="0"/>
                </a:moveTo>
                <a:lnTo>
                  <a:pt x="6045200" y="0"/>
                </a:lnTo>
                <a:lnTo>
                  <a:pt x="6045200" y="101600"/>
                </a:lnTo>
                <a:lnTo>
                  <a:pt x="0" y="101600"/>
                </a:lnTo>
                <a:lnTo>
                  <a:pt x="0" y="0"/>
                </a:lnTo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D5B13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s-HN"/>
          </a:p>
        </xdr:txBody>
      </xdr:sp>
      <xdr:sp macro="" textlink="">
        <xdr:nvSpPr>
          <xdr:cNvPr id="4" name="Shape 5224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/>
        </xdr:nvSpPr>
        <xdr:spPr>
          <a:xfrm>
            <a:off x="1131493" y="580108"/>
            <a:ext cx="5355593" cy="59909"/>
          </a:xfrm>
          <a:custGeom>
            <a:avLst/>
            <a:gdLst/>
            <a:ahLst/>
            <a:cxnLst/>
            <a:rect l="0" t="0" r="0" b="0"/>
            <a:pathLst>
              <a:path w="6363970" h="45085">
                <a:moveTo>
                  <a:pt x="0" y="0"/>
                </a:moveTo>
                <a:lnTo>
                  <a:pt x="6363970" y="0"/>
                </a:lnTo>
                <a:lnTo>
                  <a:pt x="6363970" y="45085"/>
                </a:lnTo>
                <a:lnTo>
                  <a:pt x="0" y="45085"/>
                </a:lnTo>
                <a:lnTo>
                  <a:pt x="0" y="0"/>
                </a:lnTo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4B183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s-HN"/>
          </a:p>
        </xdr:txBody>
      </xdr:sp>
      <xdr:pic>
        <xdr:nvPicPr>
          <xdr:cNvPr id="5" name="Picture 546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PicPr/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-81785" y="149670"/>
            <a:ext cx="1468834" cy="1685316"/>
          </a:xfrm>
          <a:prstGeom prst="rect">
            <a:avLst/>
          </a:prstGeom>
        </xdr:spPr>
      </xdr:pic>
    </xdr:grpSp>
    <xdr:clientData/>
  </xdr:twoCellAnchor>
  <xdr:oneCellAnchor>
    <xdr:from>
      <xdr:col>2</xdr:col>
      <xdr:colOff>386895</xdr:colOff>
      <xdr:row>0</xdr:row>
      <xdr:rowOff>0</xdr:rowOff>
    </xdr:from>
    <xdr:ext cx="4966616" cy="673198"/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1253490" y="0"/>
          <a:ext cx="4966335" cy="6731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s-HN" sz="4000" b="1">
              <a:effectLst/>
              <a:latin typeface="Bell MT" panose="02020503060305020303" pitchFamily="18" charset="0"/>
              <a:ea typeface="+mn-ea"/>
              <a:cs typeface="+mn-cs"/>
            </a:rPr>
            <a:t>Avvisi Audiovisuales </a:t>
          </a:r>
          <a:endParaRPr lang="es-ES" sz="19900" b="1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Bell MT" panose="02020503060305020303" pitchFamily="18" charset="0"/>
          </a:endParaRPr>
        </a:p>
      </xdr:txBody>
    </xdr:sp>
    <xdr:clientData/>
  </xdr:oneCellAnchor>
  <xdr:twoCellAnchor>
    <xdr:from>
      <xdr:col>2</xdr:col>
      <xdr:colOff>609600</xdr:colOff>
      <xdr:row>3</xdr:row>
      <xdr:rowOff>28575</xdr:rowOff>
    </xdr:from>
    <xdr:to>
      <xdr:col>7</xdr:col>
      <xdr:colOff>38100</xdr:colOff>
      <xdr:row>6</xdr:row>
      <xdr:rowOff>174625</xdr:rowOff>
    </xdr:to>
    <xdr:sp macro="" textlink="">
      <xdr:nvSpPr>
        <xdr:cNvPr id="7" name="CuadroTexto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1476375" y="600075"/>
          <a:ext cx="3886200" cy="7175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Colonia Víctor F Ardon casa 6 Bloque D </a:t>
          </a:r>
        </a:p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Tegucigalpa M.D.C, Teléfono: 32490824 </a:t>
          </a:r>
        </a:p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Correo. avvisiaudio@gmail.com RTN 08011996068335 </a:t>
          </a:r>
        </a:p>
        <a:p>
          <a:pPr algn="ctr"/>
          <a:endParaRPr lang="es-HN" sz="1000"/>
        </a:p>
      </xdr:txBody>
    </xdr:sp>
    <xdr:clientData/>
  </xdr:twoCellAnchor>
  <xdr:oneCellAnchor>
    <xdr:from>
      <xdr:col>2</xdr:col>
      <xdr:colOff>925471</xdr:colOff>
      <xdr:row>6</xdr:row>
      <xdr:rowOff>10837</xdr:rowOff>
    </xdr:from>
    <xdr:ext cx="3733714" cy="468013"/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1791970" y="1153795"/>
          <a:ext cx="3733800" cy="46799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r>
            <a:rPr lang="es-HN" sz="2400" b="1">
              <a:effectLst/>
              <a:latin typeface="+mn-lt"/>
              <a:ea typeface="+mn-ea"/>
              <a:cs typeface="+mn-cs"/>
            </a:rPr>
            <a:t>COTIZACION DE SERVICIOS  </a:t>
          </a:r>
        </a:p>
      </xdr:txBody>
    </xdr:sp>
    <xdr:clientData/>
  </xdr:oneCellAnchor>
  <xdr:twoCellAnchor>
    <xdr:from>
      <xdr:col>1</xdr:col>
      <xdr:colOff>30372</xdr:colOff>
      <xdr:row>8</xdr:row>
      <xdr:rowOff>53915</xdr:rowOff>
    </xdr:from>
    <xdr:to>
      <xdr:col>7</xdr:col>
      <xdr:colOff>940037</xdr:colOff>
      <xdr:row>10</xdr:row>
      <xdr:rowOff>170731</xdr:rowOff>
    </xdr:to>
    <xdr:sp macro="" textlink="">
      <xdr:nvSpPr>
        <xdr:cNvPr id="9" name="CuadroText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79923" y="1535186"/>
          <a:ext cx="6478675" cy="48713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Avvisi Audiovisuales cuenta con gran experiencia en eventos de salón, publicidad y Marketing por lo cual se les dará una cotización puntual de los servicios requeridos. </a:t>
          </a:r>
        </a:p>
        <a:p>
          <a:endParaRPr lang="es-HN" sz="1100"/>
        </a:p>
      </xdr:txBody>
    </xdr:sp>
    <xdr:clientData/>
  </xdr:twoCellAnchor>
  <xdr:twoCellAnchor>
    <xdr:from>
      <xdr:col>0</xdr:col>
      <xdr:colOff>7399</xdr:colOff>
      <xdr:row>29</xdr:row>
      <xdr:rowOff>35608</xdr:rowOff>
    </xdr:from>
    <xdr:to>
      <xdr:col>7</xdr:col>
      <xdr:colOff>1001484</xdr:colOff>
      <xdr:row>39</xdr:row>
      <xdr:rowOff>147962</xdr:rowOff>
    </xdr:to>
    <xdr:sp macro="" textlink="">
      <xdr:nvSpPr>
        <xdr:cNvPr id="19" name="CuadroTexto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7399" y="5783265"/>
          <a:ext cx="6719971" cy="246366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TIEMPO DE MANTENIMIENTO DE OFERTA: 30 DÍAS 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 uso del equipo dependerá del montaje a realizar según las especificaciones del</a:t>
          </a:r>
        </a:p>
        <a:p>
          <a:pPr algn="l"/>
          <a:r>
            <a:rPr lang="es-HN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cliente tomando en cuenta lugar, número de personas y duración.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 siguiente es una descripción de algunos servicios dentro del presupuesto:</a:t>
          </a:r>
        </a:p>
        <a:p>
          <a:pPr algn="l"/>
          <a:r>
            <a:rPr lang="es-HN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resupuesto, personal de staff, presupuesto de operación, impuestos y permisos del montaje.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3)</a:t>
          </a:r>
          <a:r>
            <a:rPr lang="es-HN" sz="9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Los precios en esta cotización están sujetos a cambios según la logística que se maneje por parte de la organización de la actividad. El 50% del adelanto antes del evento y el 50% faltante terminado el sound check  y el montaje o una cantidad acordada entre las partes.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 caso de que se cancele el evento se tendrá que dar un aviso 4 das antes para la devolución del dinero.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Cualquier daño al equipo causado por los invitados o participantes del evento, se reconocerá un porcentaje del valor del mismo según la gravedad del caso.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6)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Si surge alguna consulta puede comunicarse al 32490824 y visitar nuestra página de Facebook https://www.facebook.com/Avvisicorporation/</a:t>
          </a:r>
          <a:endParaRPr lang="es-HN" sz="900" b="1"/>
        </a:p>
      </xdr:txBody>
    </xdr:sp>
    <xdr:clientData/>
  </xdr:twoCellAnchor>
  <xdr:twoCellAnchor>
    <xdr:from>
      <xdr:col>1</xdr:col>
      <xdr:colOff>120971</xdr:colOff>
      <xdr:row>38</xdr:row>
      <xdr:rowOff>601411</xdr:rowOff>
    </xdr:from>
    <xdr:to>
      <xdr:col>4</xdr:col>
      <xdr:colOff>168596</xdr:colOff>
      <xdr:row>40</xdr:row>
      <xdr:rowOff>320468</xdr:rowOff>
    </xdr:to>
    <xdr:sp macro="" textlink="">
      <xdr:nvSpPr>
        <xdr:cNvPr id="21" name="CuadroTexto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 txBox="1"/>
      </xdr:nvSpPr>
      <xdr:spPr>
        <a:xfrm>
          <a:off x="270522" y="7808364"/>
          <a:ext cx="2397719" cy="69470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HN" sz="1100"/>
            <a:t>______________________________</a:t>
          </a: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Lic.</a:t>
          </a:r>
          <a:r>
            <a:rPr lang="es-HN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Eufemio Josue Martinez Galo</a:t>
          </a:r>
        </a:p>
        <a:p>
          <a:pPr algn="ctr"/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Avvisi Audiovisuales</a:t>
          </a:r>
          <a:endParaRPr lang="es-HN" sz="1100"/>
        </a:p>
      </xdr:txBody>
    </xdr:sp>
    <xdr:clientData/>
  </xdr:twoCellAnchor>
  <xdr:twoCellAnchor>
    <xdr:from>
      <xdr:col>4</xdr:col>
      <xdr:colOff>838800</xdr:colOff>
      <xdr:row>38</xdr:row>
      <xdr:rowOff>612567</xdr:rowOff>
    </xdr:from>
    <xdr:to>
      <xdr:col>7</xdr:col>
      <xdr:colOff>991200</xdr:colOff>
      <xdr:row>42</xdr:row>
      <xdr:rowOff>147949</xdr:rowOff>
    </xdr:to>
    <xdr:sp macro="" textlink="">
      <xdr:nvSpPr>
        <xdr:cNvPr id="10" name="CuadroTexto 20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/>
      </xdr:nvSpPr>
      <xdr:spPr>
        <a:xfrm>
          <a:off x="3338445" y="7819520"/>
          <a:ext cx="3371316" cy="93119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HN" sz="1100"/>
            <a:t>______________________________</a:t>
          </a:r>
        </a:p>
        <a:p>
          <a:pPr algn="ctr"/>
          <a:r>
            <a:rPr lang="es-HN" sz="1100"/>
            <a:t>Representante</a:t>
          </a:r>
        </a:p>
      </xdr:txBody>
    </xdr:sp>
    <xdr:clientData/>
  </xdr:twoCellAnchor>
  <xdr:twoCellAnchor editAs="oneCell">
    <xdr:from>
      <xdr:col>0</xdr:col>
      <xdr:colOff>0</xdr:colOff>
      <xdr:row>35</xdr:row>
      <xdr:rowOff>149553</xdr:rowOff>
    </xdr:from>
    <xdr:to>
      <xdr:col>4</xdr:col>
      <xdr:colOff>1032164</xdr:colOff>
      <xdr:row>42</xdr:row>
      <xdr:rowOff>56973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F9472244-BEF2-EE99-A4E2-D48DAA2AB6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6453371"/>
          <a:ext cx="3449782" cy="184012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58"/>
  <sheetViews>
    <sheetView tabSelected="1" view="pageLayout" topLeftCell="A15" zoomScale="116" zoomScaleNormal="110" zoomScaleSheetLayoutView="112" zoomScalePageLayoutView="116" workbookViewId="0">
      <selection activeCell="H23" sqref="H23"/>
    </sheetView>
  </sheetViews>
  <sheetFormatPr baseColWidth="10" defaultColWidth="11" defaultRowHeight="14.4"/>
  <cols>
    <col min="1" max="1" width="2.109375" customWidth="1"/>
    <col min="2" max="2" width="11.44140625" customWidth="1"/>
    <col min="3" max="3" width="8.77734375" customWidth="1"/>
    <col min="4" max="4" width="12.88671875" customWidth="1"/>
    <col min="5" max="5" width="16.21875" customWidth="1"/>
    <col min="6" max="6" width="17" customWidth="1"/>
    <col min="7" max="7" width="12" customWidth="1"/>
    <col min="8" max="8" width="15.88671875" customWidth="1"/>
    <col min="9" max="9" width="9.21875" customWidth="1"/>
  </cols>
  <sheetData>
    <row r="1" spans="2:9">
      <c r="B1" s="29"/>
      <c r="C1" s="29"/>
      <c r="D1" s="29"/>
      <c r="E1" s="29"/>
      <c r="F1" s="29"/>
      <c r="G1" s="29"/>
      <c r="H1" s="29"/>
    </row>
    <row r="6" spans="2:9">
      <c r="H6" s="8" t="s">
        <v>12</v>
      </c>
      <c r="I6" s="1"/>
    </row>
    <row r="7" spans="2:9">
      <c r="H7" s="21" t="s">
        <v>30</v>
      </c>
    </row>
    <row r="12" spans="2:9" ht="12.6" customHeight="1">
      <c r="B12" s="30" t="s">
        <v>14</v>
      </c>
      <c r="C12" s="30"/>
      <c r="D12" s="32" t="s">
        <v>29</v>
      </c>
      <c r="E12" s="33"/>
      <c r="F12" t="s">
        <v>11</v>
      </c>
      <c r="G12" s="34" t="s">
        <v>15</v>
      </c>
      <c r="H12" s="34"/>
    </row>
    <row r="13" spans="2:9" ht="14.4" customHeight="1">
      <c r="B13" s="30" t="s">
        <v>0</v>
      </c>
      <c r="C13" s="30"/>
      <c r="D13" s="36" t="s">
        <v>19</v>
      </c>
      <c r="E13" s="37"/>
      <c r="F13" s="1" t="s">
        <v>17</v>
      </c>
      <c r="G13" s="35"/>
      <c r="H13" s="35"/>
    </row>
    <row r="14" spans="2:9">
      <c r="B14" s="1" t="s">
        <v>1</v>
      </c>
      <c r="C14" s="1" t="s">
        <v>2</v>
      </c>
      <c r="D14" s="31" t="s">
        <v>3</v>
      </c>
      <c r="E14" s="31"/>
      <c r="F14" s="29" t="s">
        <v>10</v>
      </c>
      <c r="G14" s="29"/>
      <c r="H14" s="1" t="s">
        <v>13</v>
      </c>
    </row>
    <row r="15" spans="2:9">
      <c r="B15" s="2">
        <v>45839</v>
      </c>
      <c r="C15" s="1" t="s">
        <v>18</v>
      </c>
      <c r="D15" s="38"/>
      <c r="E15" s="39"/>
      <c r="F15" s="41"/>
      <c r="G15" s="34"/>
      <c r="H15" s="7"/>
    </row>
    <row r="16" spans="2:9" ht="15.6">
      <c r="B16" s="3" t="s">
        <v>4</v>
      </c>
      <c r="C16" s="3" t="s">
        <v>8</v>
      </c>
      <c r="D16" s="40" t="s">
        <v>5</v>
      </c>
      <c r="E16" s="40"/>
      <c r="F16" s="40"/>
      <c r="G16" s="3" t="s">
        <v>6</v>
      </c>
      <c r="H16" s="16" t="s">
        <v>7</v>
      </c>
    </row>
    <row r="17" spans="2:9">
      <c r="B17" s="4">
        <v>1</v>
      </c>
      <c r="C17" s="4">
        <v>1</v>
      </c>
      <c r="D17" s="23" t="s">
        <v>32</v>
      </c>
      <c r="E17" s="24"/>
      <c r="F17" s="24"/>
      <c r="G17" s="13">
        <v>7000</v>
      </c>
      <c r="H17" s="17">
        <v>7000</v>
      </c>
    </row>
    <row r="18" spans="2:9">
      <c r="B18" s="4">
        <v>1</v>
      </c>
      <c r="C18" s="6">
        <v>1</v>
      </c>
      <c r="D18" s="42" t="s">
        <v>20</v>
      </c>
      <c r="E18" s="43"/>
      <c r="F18" s="43"/>
      <c r="G18" s="14">
        <v>7000</v>
      </c>
      <c r="H18" s="17">
        <v>7000</v>
      </c>
    </row>
    <row r="19" spans="2:9">
      <c r="B19" s="4">
        <v>2</v>
      </c>
      <c r="C19" s="6">
        <v>1</v>
      </c>
      <c r="D19" s="23" t="s">
        <v>21</v>
      </c>
      <c r="E19" s="24"/>
      <c r="F19" s="24"/>
      <c r="G19" s="15"/>
      <c r="H19" s="17">
        <f>G19*B19</f>
        <v>0</v>
      </c>
      <c r="I19" s="22"/>
    </row>
    <row r="20" spans="2:9">
      <c r="B20" s="4">
        <v>2</v>
      </c>
      <c r="C20" s="6">
        <v>1</v>
      </c>
      <c r="D20" s="23" t="s">
        <v>22</v>
      </c>
      <c r="E20" s="24"/>
      <c r="F20" s="24"/>
      <c r="G20" s="14">
        <v>500</v>
      </c>
      <c r="H20" s="17">
        <f>G20*B20</f>
        <v>1000</v>
      </c>
    </row>
    <row r="21" spans="2:9">
      <c r="B21" s="4">
        <v>1</v>
      </c>
      <c r="C21" s="6">
        <v>1</v>
      </c>
      <c r="D21" s="23" t="s">
        <v>25</v>
      </c>
      <c r="E21" s="24"/>
      <c r="F21" s="24"/>
      <c r="G21" s="14">
        <v>3000</v>
      </c>
      <c r="H21" s="17">
        <v>3000</v>
      </c>
    </row>
    <row r="22" spans="2:9">
      <c r="B22" s="4">
        <v>1</v>
      </c>
      <c r="C22" s="6">
        <v>1</v>
      </c>
      <c r="D22" s="25" t="s">
        <v>33</v>
      </c>
      <c r="E22" s="26"/>
      <c r="F22" s="27"/>
      <c r="G22" s="9">
        <v>5000</v>
      </c>
      <c r="H22" s="17">
        <v>5000</v>
      </c>
    </row>
    <row r="23" spans="2:9">
      <c r="B23" s="4">
        <v>10</v>
      </c>
      <c r="C23" s="6">
        <v>1</v>
      </c>
      <c r="D23" s="18" t="s">
        <v>23</v>
      </c>
      <c r="E23" s="19"/>
      <c r="F23" s="20"/>
      <c r="G23" s="9">
        <v>2000</v>
      </c>
      <c r="H23" s="17">
        <f>G23*B23</f>
        <v>20000</v>
      </c>
    </row>
    <row r="24" spans="2:9">
      <c r="B24" s="4">
        <v>30</v>
      </c>
      <c r="C24" s="6">
        <v>1</v>
      </c>
      <c r="D24" s="18" t="s">
        <v>24</v>
      </c>
      <c r="E24" s="19"/>
      <c r="F24" s="20"/>
      <c r="G24" s="9">
        <v>200</v>
      </c>
      <c r="H24" s="17">
        <f>G24*B24</f>
        <v>6000</v>
      </c>
    </row>
    <row r="25" spans="2:9">
      <c r="B25" s="4">
        <v>30</v>
      </c>
      <c r="C25" s="6">
        <v>1</v>
      </c>
      <c r="D25" s="18" t="s">
        <v>34</v>
      </c>
      <c r="E25" s="19"/>
      <c r="F25" s="20"/>
      <c r="G25" s="9">
        <f>H25/B25</f>
        <v>150</v>
      </c>
      <c r="H25" s="17">
        <v>4500</v>
      </c>
    </row>
    <row r="26" spans="2:9">
      <c r="B26" s="4">
        <v>60</v>
      </c>
      <c r="C26" s="6">
        <v>1</v>
      </c>
      <c r="D26" s="18" t="s">
        <v>26</v>
      </c>
      <c r="E26" s="19"/>
      <c r="F26" s="20"/>
      <c r="G26" s="9">
        <v>25</v>
      </c>
      <c r="H26" s="17">
        <f>G26*B26</f>
        <v>1500</v>
      </c>
    </row>
    <row r="27" spans="2:9">
      <c r="B27" s="4">
        <v>1</v>
      </c>
      <c r="C27" s="6">
        <v>1</v>
      </c>
      <c r="D27" s="18" t="s">
        <v>28</v>
      </c>
      <c r="E27" s="19"/>
      <c r="F27" s="20"/>
      <c r="G27" s="9">
        <v>500</v>
      </c>
      <c r="H27" s="17">
        <f>G27*B27</f>
        <v>500</v>
      </c>
    </row>
    <row r="28" spans="2:9">
      <c r="B28" s="4">
        <v>30</v>
      </c>
      <c r="C28" s="6">
        <v>1</v>
      </c>
      <c r="D28" s="18" t="s">
        <v>31</v>
      </c>
      <c r="E28" s="19"/>
      <c r="F28" s="20"/>
      <c r="G28" s="9">
        <v>150</v>
      </c>
      <c r="H28" s="17">
        <f>G28*B28</f>
        <v>4500</v>
      </c>
    </row>
    <row r="29" spans="2:9">
      <c r="B29" s="4">
        <v>2</v>
      </c>
      <c r="C29" s="6">
        <v>1</v>
      </c>
      <c r="D29" s="25" t="s">
        <v>27</v>
      </c>
      <c r="E29" s="26"/>
      <c r="F29" s="27"/>
      <c r="G29" s="9">
        <v>1000</v>
      </c>
      <c r="H29" s="17">
        <f>G29*B29</f>
        <v>2000</v>
      </c>
    </row>
    <row r="30" spans="2:9">
      <c r="D30" s="28"/>
      <c r="E30" s="28"/>
      <c r="F30" s="28"/>
      <c r="G30" s="10" t="s">
        <v>9</v>
      </c>
      <c r="H30" s="11">
        <f>SUM(H17:H29)</f>
        <v>62000</v>
      </c>
    </row>
    <row r="31" spans="2:9">
      <c r="G31" s="10" t="s">
        <v>16</v>
      </c>
      <c r="H31" s="12">
        <f>H30*0.15</f>
        <v>9300</v>
      </c>
    </row>
    <row r="32" spans="2:9">
      <c r="G32" s="10" t="s">
        <v>9</v>
      </c>
      <c r="H32" s="12">
        <f>H31+H30</f>
        <v>71300</v>
      </c>
    </row>
    <row r="39" spans="2:8" ht="62.4" customHeight="1"/>
    <row r="41" spans="2:8" ht="27.6" customHeight="1"/>
    <row r="42" spans="2:8" ht="5.4" customHeight="1">
      <c r="B42" s="5"/>
      <c r="C42" s="5"/>
      <c r="D42" s="5"/>
      <c r="E42" s="5"/>
      <c r="F42" s="5"/>
      <c r="G42" s="5"/>
      <c r="H42" s="5"/>
    </row>
    <row r="44" spans="2:8" ht="25.2" customHeight="1"/>
    <row r="51" ht="21" customHeight="1"/>
    <row r="53" ht="1.95" customHeight="1"/>
    <row r="54" ht="7.95" customHeight="1"/>
    <row r="55" ht="16.05" customHeight="1"/>
    <row r="57" ht="6" customHeight="1"/>
    <row r="58" ht="9.75" customHeight="1"/>
  </sheetData>
  <mergeCells count="20">
    <mergeCell ref="D15:E15"/>
    <mergeCell ref="D16:F16"/>
    <mergeCell ref="D17:F17"/>
    <mergeCell ref="F15:G15"/>
    <mergeCell ref="D18:F18"/>
    <mergeCell ref="B1:H1"/>
    <mergeCell ref="B12:C12"/>
    <mergeCell ref="B13:C13"/>
    <mergeCell ref="D14:E14"/>
    <mergeCell ref="D12:E12"/>
    <mergeCell ref="G12:H12"/>
    <mergeCell ref="F14:G14"/>
    <mergeCell ref="G13:H13"/>
    <mergeCell ref="D13:E13"/>
    <mergeCell ref="D19:F19"/>
    <mergeCell ref="D29:F29"/>
    <mergeCell ref="D30:F30"/>
    <mergeCell ref="D20:F20"/>
    <mergeCell ref="D21:F21"/>
    <mergeCell ref="D22:F22"/>
  </mergeCells>
  <phoneticPr fontId="8" type="noConversion"/>
  <printOptions horizontalCentered="1"/>
  <pageMargins left="0.25" right="0.25" top="0.30824829931972803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INFORMATICA</dc:creator>
  <cp:lastModifiedBy>HUAWEI</cp:lastModifiedBy>
  <cp:lastPrinted>2025-07-09T00:37:51Z</cp:lastPrinted>
  <dcterms:created xsi:type="dcterms:W3CDTF">2022-10-19T19:05:00Z</dcterms:created>
  <dcterms:modified xsi:type="dcterms:W3CDTF">2025-07-09T00:38:02Z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10F1D9C87FDA4006BEFD2A5F50664B43</vt:lpwstr>
  </property>
  <property fmtid="{D5CDD505-2E9C-101B-9397-08002B2CF9AE}" pid="3" name="KSOProductBuildVer">
    <vt:lpwstr>1033-11.2.0.11513</vt:lpwstr>
  </property>
</Properties>
</file>